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84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18" i="1" l="1"/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<sst xmlns="http://schemas.openxmlformats.org/spreadsheetml/2006/main" count="281" uniqueCount="126">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</sst>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1" fillId="4" borderId="1" xfId="0" applyFont="1" applyFill="1" applyBorder="1" applyAlignment="1">
      <alignment horizontal="left" vertical="center" wrapText="1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topLeftCell="D1" zoomScale="85" zoomScaleNormal="85" zoomScaleSheetLayoutView="85" workbookViewId="0">
      <pane ySplit="5" topLeftCell="A6" activePane="bottomLeft" state="frozen"/>
      <selection pane="bottomLeft" activeCell="AA11" sqref="AA11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14" t="s">
        <v>39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</row>
    <row r="2" spans="1:2934" ht="18" hidden="1" x14ac:dyDescent="0.35">
      <c r="A2" s="115" t="s">
        <v>40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</row>
    <row r="3" spans="1:2934" ht="31.8" hidden="1" thickBot="1" x14ac:dyDescent="0.6">
      <c r="A3" s="116" t="s">
        <v>41</v>
      </c>
      <c r="B3" s="117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 t="s">
        <v>53</v>
      </c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7" t="s">
        <v>37</v>
      </c>
      <c r="B4" s="139" t="s">
        <v>0</v>
      </c>
      <c r="C4" s="126" t="s">
        <v>34</v>
      </c>
      <c r="D4" s="118" t="s">
        <v>36</v>
      </c>
      <c r="E4" s="119"/>
      <c r="F4" s="119"/>
      <c r="G4" s="119"/>
      <c r="H4" s="119"/>
      <c r="I4" s="119"/>
      <c r="J4" s="119"/>
      <c r="K4" s="119"/>
      <c r="L4" s="119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3" t="s">
        <v>30</v>
      </c>
      <c r="AJ4" s="125" t="s">
        <v>31</v>
      </c>
      <c r="AK4" s="126" t="s">
        <v>32</v>
      </c>
      <c r="AL4" s="128" t="s">
        <v>121</v>
      </c>
      <c r="AM4" s="130" t="s">
        <v>122</v>
      </c>
      <c r="AN4" s="132" t="s">
        <v>123</v>
      </c>
      <c r="AO4" s="121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8"/>
      <c r="B5" s="140"/>
      <c r="C5" s="127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24"/>
      <c r="AJ5" s="124"/>
      <c r="AK5" s="127"/>
      <c r="AL5" s="129"/>
      <c r="AM5" s="131"/>
      <c r="AN5" s="133"/>
      <c r="AO5" s="122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>
        <v>2.5</v>
      </c>
      <c r="P6" s="91">
        <v>2.5</v>
      </c>
      <c r="Q6" s="91">
        <v>2.5</v>
      </c>
      <c r="R6" s="91">
        <v>2.5</v>
      </c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19.5</v>
      </c>
      <c r="AJ6" s="31">
        <v>44440</v>
      </c>
      <c r="AK6" s="19">
        <f>1550+490+800+200+645+160+260</f>
        <v>4105</v>
      </c>
      <c r="AL6" s="100">
        <f>AK36/AI36</f>
        <v>81.125541125541119</v>
      </c>
      <c r="AM6" s="22">
        <f>AI6*AL6</f>
        <v>1581.9480519480519</v>
      </c>
      <c r="AN6" s="52">
        <f t="shared" ref="AN6:AN35" si="1">C6-AM6</f>
        <v>418.0519480519481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>
        <v>2.5</v>
      </c>
      <c r="P7" s="91">
        <v>2.5</v>
      </c>
      <c r="Q7" s="91">
        <v>2.5</v>
      </c>
      <c r="R7" s="91">
        <v>2.5</v>
      </c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26</v>
      </c>
      <c r="AJ7" s="31">
        <v>44441</v>
      </c>
      <c r="AK7" s="19"/>
      <c r="AL7" s="101"/>
      <c r="AM7" s="22">
        <f>AI7*AL6</f>
        <v>2109.2640692640689</v>
      </c>
      <c r="AN7" s="87">
        <f t="shared" si="1"/>
        <v>-109.26406926406889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>
        <v>2.5</v>
      </c>
      <c r="P8" s="91">
        <v>2.5</v>
      </c>
      <c r="Q8" s="91">
        <v>2.5</v>
      </c>
      <c r="R8" s="91">
        <v>2.5</v>
      </c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25.5</v>
      </c>
      <c r="AJ8" s="31">
        <v>44442</v>
      </c>
      <c r="AK8" s="19">
        <v>2150</v>
      </c>
      <c r="AL8" s="101"/>
      <c r="AM8" s="22">
        <f>AI8*AL6</f>
        <v>2068.7012987012986</v>
      </c>
      <c r="AN8" s="87">
        <f t="shared" si="1"/>
        <v>-68.701298701298583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106" t="s">
        <v>124</v>
      </c>
      <c r="C9" s="41">
        <v>1500</v>
      </c>
      <c r="D9" s="91">
        <v>1</v>
      </c>
      <c r="E9" s="91">
        <v>0</v>
      </c>
      <c r="F9" s="91">
        <v>0</v>
      </c>
      <c r="G9" s="91">
        <v>1</v>
      </c>
      <c r="H9" s="91">
        <v>1</v>
      </c>
      <c r="I9" s="91">
        <v>1</v>
      </c>
      <c r="J9" s="91">
        <v>1</v>
      </c>
      <c r="K9" s="91">
        <v>0</v>
      </c>
      <c r="L9" s="91">
        <v>1</v>
      </c>
      <c r="M9" s="91">
        <v>0</v>
      </c>
      <c r="N9" s="91">
        <v>1</v>
      </c>
      <c r="O9" s="91">
        <v>1</v>
      </c>
      <c r="P9" s="91">
        <v>1</v>
      </c>
      <c r="Q9" s="91">
        <v>1</v>
      </c>
      <c r="R9" s="91">
        <v>1</v>
      </c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11</v>
      </c>
      <c r="AJ9" s="31">
        <v>44443</v>
      </c>
      <c r="AK9" s="19">
        <v>60</v>
      </c>
      <c r="AL9" s="101"/>
      <c r="AM9" s="22">
        <f>AI9*AL6</f>
        <v>892.38095238095229</v>
      </c>
      <c r="AN9" s="87">
        <f t="shared" si="1"/>
        <v>607.61904761904771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106" t="s">
        <v>119</v>
      </c>
      <c r="C10" s="41">
        <v>2000</v>
      </c>
      <c r="D10" s="91">
        <v>1</v>
      </c>
      <c r="E10" s="91">
        <v>1</v>
      </c>
      <c r="F10" s="91">
        <v>2</v>
      </c>
      <c r="G10" s="91">
        <v>1</v>
      </c>
      <c r="H10" s="91">
        <v>1</v>
      </c>
      <c r="I10" s="91">
        <v>1</v>
      </c>
      <c r="J10" s="91">
        <v>0.5</v>
      </c>
      <c r="K10" s="91">
        <v>0</v>
      </c>
      <c r="L10" s="91">
        <v>1</v>
      </c>
      <c r="M10" s="91">
        <v>2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15.5</v>
      </c>
      <c r="AJ10" s="31">
        <v>44444</v>
      </c>
      <c r="AK10" s="19"/>
      <c r="AL10" s="101"/>
      <c r="AM10" s="22">
        <f>AI10*AL6</f>
        <v>1257.4458874458874</v>
      </c>
      <c r="AN10" s="87">
        <f t="shared" si="1"/>
        <v>742.55411255411263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>
        <v>1500</v>
      </c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>
        <v>1.5</v>
      </c>
      <c r="P11" s="91">
        <v>1.5</v>
      </c>
      <c r="Q11" s="91">
        <v>1.5</v>
      </c>
      <c r="R11" s="91">
        <v>1.5</v>
      </c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18</v>
      </c>
      <c r="AJ11" s="31">
        <v>44445</v>
      </c>
      <c r="AK11" s="19">
        <v>20</v>
      </c>
      <c r="AL11" s="101"/>
      <c r="AM11" s="22">
        <f>AI11*AL6</f>
        <v>1460.2597402597401</v>
      </c>
      <c r="AN11" s="52">
        <f t="shared" si="1"/>
        <v>39.740259740259944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10" t="s">
        <v>125</v>
      </c>
      <c r="C13" s="11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12"/>
      <c r="C14" s="113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10"/>
      <c r="C15" s="11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10"/>
      <c r="C16" s="11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10"/>
      <c r="C17" s="111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>
        <v>420</v>
      </c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10"/>
      <c r="C18" s="11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>
        <f>1595+110</f>
        <v>1705</v>
      </c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10"/>
      <c r="C19" s="11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10"/>
      <c r="C20" s="11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>
        <v>780</v>
      </c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10"/>
      <c r="C21" s="11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10"/>
      <c r="C22" s="11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08"/>
      <c r="B36" s="109"/>
      <c r="C36" s="50">
        <f>SUM(C6:C35)</f>
        <v>11000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11</v>
      </c>
      <c r="P36" s="44">
        <f t="shared" si="3"/>
        <v>11</v>
      </c>
      <c r="Q36" s="44">
        <f t="shared" si="3"/>
        <v>11</v>
      </c>
      <c r="R36" s="44">
        <f t="shared" si="3"/>
        <v>11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115.5</v>
      </c>
      <c r="AJ36" s="45"/>
      <c r="AK36" s="47">
        <f>SUM(AK6:AK35)</f>
        <v>9370</v>
      </c>
      <c r="AL36" s="103"/>
      <c r="AM36" s="23">
        <f>SUM(AM6:AM35)</f>
        <v>9370</v>
      </c>
      <c r="AN36" s="23">
        <f>SUM(AN6:AN35)</f>
        <v>1630.0000000000009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07">
        <f>C36-AK36</f>
        <v>1630</v>
      </c>
      <c r="R39" s="107"/>
      <c r="S39" s="107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1" t="s">
        <v>31</v>
      </c>
      <c r="D1" s="141" t="s">
        <v>32</v>
      </c>
      <c r="E1" s="141" t="s">
        <v>42</v>
      </c>
    </row>
    <row r="2" spans="3:13" s="10" customFormat="1" ht="7.5" customHeight="1" x14ac:dyDescent="0.3">
      <c r="C2" s="142"/>
      <c r="D2" s="142"/>
      <c r="E2" s="142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3" t="s">
        <v>31</v>
      </c>
      <c r="D35" s="143" t="s">
        <v>32</v>
      </c>
      <c r="E35" s="145" t="s">
        <v>35</v>
      </c>
    </row>
    <row r="36" spans="3:5" ht="21" customHeight="1" x14ac:dyDescent="0.3">
      <c r="C36" s="144"/>
      <c r="D36" s="144"/>
      <c r="E36" s="146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7" t="s">
        <v>95</v>
      </c>
      <c r="B61" s="147"/>
      <c r="C61" s="147"/>
      <c r="D61" s="147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4" t="s">
        <v>39</v>
      </c>
      <c r="B1" s="114"/>
      <c r="C1" s="114"/>
      <c r="D1" s="114"/>
      <c r="E1" s="114"/>
      <c r="F1" s="114"/>
      <c r="G1" s="114"/>
      <c r="H1" s="114"/>
    </row>
    <row r="2" spans="1:2901" ht="18.600000000000001" hidden="1" thickBot="1" x14ac:dyDescent="0.4">
      <c r="A2" s="115" t="s">
        <v>40</v>
      </c>
      <c r="B2" s="115"/>
      <c r="C2" s="115"/>
      <c r="D2" s="115"/>
      <c r="E2" s="115"/>
      <c r="F2" s="115"/>
      <c r="G2" s="115"/>
      <c r="H2" s="115"/>
    </row>
    <row r="3" spans="1:2901" ht="32.25" hidden="1" customHeight="1" thickBot="1" x14ac:dyDescent="0.6">
      <c r="A3" s="116" t="s">
        <v>41</v>
      </c>
      <c r="B3" s="117"/>
      <c r="C3" s="152"/>
      <c r="D3" s="135"/>
      <c r="E3" s="73"/>
      <c r="F3" s="53"/>
      <c r="G3" s="28"/>
      <c r="H3" s="2"/>
    </row>
    <row r="4" spans="1:2901" s="21" customFormat="1" ht="19.5" customHeight="1" x14ac:dyDescent="0.3">
      <c r="A4" s="151" t="s">
        <v>37</v>
      </c>
      <c r="B4" s="150" t="s">
        <v>0</v>
      </c>
      <c r="C4" s="149" t="s">
        <v>38</v>
      </c>
      <c r="D4" s="149" t="s">
        <v>29</v>
      </c>
      <c r="E4" s="125" t="s">
        <v>30</v>
      </c>
      <c r="F4" s="153" t="s">
        <v>56</v>
      </c>
      <c r="G4" s="130" t="s">
        <v>57</v>
      </c>
      <c r="H4" s="121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8"/>
      <c r="B5" s="140"/>
      <c r="C5" s="140"/>
      <c r="D5" s="140"/>
      <c r="E5" s="124"/>
      <c r="F5" s="154"/>
      <c r="G5" s="131"/>
      <c r="H5" s="122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08"/>
      <c r="B62" s="109"/>
      <c r="C62" s="109"/>
      <c r="D62" s="148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5" t="s">
        <v>116</v>
      </c>
      <c r="C1" s="155"/>
      <c r="D1" s="155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2021-09-15T15:52:54Z</dcterms:modified>
</cp:coreProperties>
</file>