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38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AN6" i="1" l="1"/>
  <c r="C6" i="1"/>
  <c r="AK34" i="1"/>
  <c r="AK31" i="1" l="1"/>
  <c r="C8" i="1" l="1"/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<sst xmlns="http://schemas.openxmlformats.org/spreadsheetml/2006/main" count="281" uniqueCount="126">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</sst>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85" zoomScaleNormal="85" zoomScaleSheetLayoutView="85" workbookViewId="0">
      <pane ySplit="5" topLeftCell="A6" activePane="bottomLeft" state="frozen"/>
      <selection pane="bottomLeft" activeCell="N16" sqref="N16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07" t="s">
        <v>39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</row>
    <row r="2" spans="1:2934" ht="18" hidden="1" x14ac:dyDescent="0.35">
      <c r="A2" s="108" t="s">
        <v>40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  <c r="AH2" s="108"/>
      <c r="AI2" s="108"/>
      <c r="AJ2" s="108"/>
      <c r="AK2" s="108"/>
      <c r="AL2" s="108"/>
      <c r="AM2" s="108"/>
      <c r="AN2" s="108"/>
      <c r="AO2" s="108"/>
    </row>
    <row r="3" spans="1:2934" ht="31.8" hidden="1" thickBot="1" x14ac:dyDescent="0.6">
      <c r="A3" s="109" t="s">
        <v>41</v>
      </c>
      <c r="B3" s="110"/>
      <c r="C3" s="128"/>
      <c r="D3" s="128"/>
      <c r="E3" s="128"/>
      <c r="F3" s="128"/>
      <c r="G3" s="128"/>
      <c r="H3" s="128"/>
      <c r="I3" s="128"/>
      <c r="J3" s="128"/>
      <c r="K3" s="128"/>
      <c r="L3" s="129"/>
      <c r="M3" s="127" t="s">
        <v>53</v>
      </c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  <c r="AD3" s="127"/>
      <c r="AE3" s="127"/>
      <c r="AF3" s="127"/>
      <c r="AG3" s="127"/>
      <c r="AH3" s="127"/>
      <c r="AI3" s="127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0" t="s">
        <v>37</v>
      </c>
      <c r="B4" s="132" t="s">
        <v>0</v>
      </c>
      <c r="C4" s="119" t="s">
        <v>34</v>
      </c>
      <c r="D4" s="111" t="s">
        <v>36</v>
      </c>
      <c r="E4" s="112"/>
      <c r="F4" s="112"/>
      <c r="G4" s="112"/>
      <c r="H4" s="112"/>
      <c r="I4" s="112"/>
      <c r="J4" s="112"/>
      <c r="K4" s="112"/>
      <c r="L4" s="112"/>
      <c r="M4" s="113"/>
      <c r="N4" s="113"/>
      <c r="O4" s="113"/>
      <c r="P4" s="113"/>
      <c r="Q4" s="113"/>
      <c r="R4" s="113"/>
      <c r="S4" s="113"/>
      <c r="T4" s="113"/>
      <c r="U4" s="113"/>
      <c r="V4" s="113"/>
      <c r="W4" s="113"/>
      <c r="X4" s="113"/>
      <c r="Y4" s="113"/>
      <c r="Z4" s="113"/>
      <c r="AA4" s="113"/>
      <c r="AB4" s="113"/>
      <c r="AC4" s="113"/>
      <c r="AD4" s="113"/>
      <c r="AE4" s="113"/>
      <c r="AF4" s="113"/>
      <c r="AG4" s="113"/>
      <c r="AH4" s="113"/>
      <c r="AI4" s="116" t="s">
        <v>30</v>
      </c>
      <c r="AJ4" s="118" t="s">
        <v>31</v>
      </c>
      <c r="AK4" s="119" t="s">
        <v>32</v>
      </c>
      <c r="AL4" s="121" t="s">
        <v>121</v>
      </c>
      <c r="AM4" s="123" t="s">
        <v>122</v>
      </c>
      <c r="AN4" s="125" t="s">
        <v>123</v>
      </c>
      <c r="AO4" s="114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1"/>
      <c r="B5" s="133"/>
      <c r="C5" s="120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17"/>
      <c r="AJ5" s="117"/>
      <c r="AK5" s="120"/>
      <c r="AL5" s="122"/>
      <c r="AM5" s="124"/>
      <c r="AN5" s="126"/>
      <c r="AO5" s="115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f>2000+199</f>
        <v>2199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>
        <v>2.5</v>
      </c>
      <c r="Q6" s="91">
        <v>2.5</v>
      </c>
      <c r="R6" s="91">
        <v>2.5</v>
      </c>
      <c r="S6" s="91">
        <v>2.5</v>
      </c>
      <c r="T6" s="91">
        <v>0</v>
      </c>
      <c r="U6" s="91">
        <v>1.5</v>
      </c>
      <c r="V6" s="91">
        <v>1</v>
      </c>
      <c r="W6" s="91">
        <v>1.5</v>
      </c>
      <c r="X6" s="91">
        <v>1.5</v>
      </c>
      <c r="Y6" s="91">
        <v>1.5</v>
      </c>
      <c r="Z6" s="91">
        <v>1.5</v>
      </c>
      <c r="AA6" s="91">
        <v>2.5</v>
      </c>
      <c r="AB6" s="91">
        <v>1.5</v>
      </c>
      <c r="AC6" s="91">
        <v>1</v>
      </c>
      <c r="AD6" s="91">
        <v>1</v>
      </c>
      <c r="AE6" s="91">
        <v>1</v>
      </c>
      <c r="AF6" s="91">
        <v>1</v>
      </c>
      <c r="AG6" s="91"/>
      <c r="AH6" s="91"/>
      <c r="AI6" s="41">
        <f t="shared" ref="AI6:AI12" si="0">SUM(D6:AH6)</f>
        <v>38.5</v>
      </c>
      <c r="AJ6" s="31">
        <v>44440</v>
      </c>
      <c r="AK6" s="19">
        <f>1550+490+800+200+645+160+260</f>
        <v>4105</v>
      </c>
      <c r="AL6" s="100">
        <f>AK36/AI36</f>
        <v>52.820627802690581</v>
      </c>
      <c r="AM6" s="22">
        <f>AI6*AL6</f>
        <v>2033.5941704035874</v>
      </c>
      <c r="AN6" s="52">
        <f>C6-AM6</f>
        <v>165.40582959641256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>
        <v>2.5</v>
      </c>
      <c r="Q7" s="91">
        <v>2.5</v>
      </c>
      <c r="R7" s="91">
        <v>2.5</v>
      </c>
      <c r="S7" s="91">
        <v>2.5</v>
      </c>
      <c r="T7" s="91">
        <v>1.5</v>
      </c>
      <c r="U7" s="91">
        <v>1.5</v>
      </c>
      <c r="V7" s="91">
        <v>1</v>
      </c>
      <c r="W7" s="91">
        <v>1.5</v>
      </c>
      <c r="X7" s="91">
        <v>1.5</v>
      </c>
      <c r="Y7" s="91">
        <v>1.5</v>
      </c>
      <c r="Z7" s="91">
        <v>1.5</v>
      </c>
      <c r="AA7" s="91">
        <v>2.5</v>
      </c>
      <c r="AB7" s="91">
        <v>1.5</v>
      </c>
      <c r="AC7" s="91">
        <v>1</v>
      </c>
      <c r="AD7" s="91">
        <v>1.5</v>
      </c>
      <c r="AE7" s="91">
        <v>1.5</v>
      </c>
      <c r="AF7" s="91">
        <v>2</v>
      </c>
      <c r="AG7" s="91"/>
      <c r="AH7" s="91"/>
      <c r="AI7" s="41">
        <f t="shared" si="0"/>
        <v>48.5</v>
      </c>
      <c r="AJ7" s="31">
        <v>44441</v>
      </c>
      <c r="AK7" s="19"/>
      <c r="AL7" s="101"/>
      <c r="AM7" s="22">
        <f>AI7*AL6</f>
        <v>2561.8004484304934</v>
      </c>
      <c r="AN7" s="87">
        <f t="shared" ref="AN6:AN35" si="1">C7-AM7</f>
        <v>-561.80044843049336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f>2000+80</f>
        <v>2080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>
        <v>2.5</v>
      </c>
      <c r="Q8" s="91">
        <v>2.5</v>
      </c>
      <c r="R8" s="91">
        <v>2.5</v>
      </c>
      <c r="S8" s="91">
        <v>2.5</v>
      </c>
      <c r="T8" s="91">
        <v>1.5</v>
      </c>
      <c r="U8" s="91">
        <v>1.5</v>
      </c>
      <c r="V8" s="91">
        <v>1</v>
      </c>
      <c r="W8" s="91">
        <v>1.5</v>
      </c>
      <c r="X8" s="91">
        <v>1.5</v>
      </c>
      <c r="Y8" s="91">
        <v>1.5</v>
      </c>
      <c r="Z8" s="91">
        <v>2</v>
      </c>
      <c r="AA8" s="91">
        <v>3.5</v>
      </c>
      <c r="AB8" s="91">
        <v>1.5</v>
      </c>
      <c r="AC8" s="91">
        <v>1</v>
      </c>
      <c r="AD8" s="91">
        <v>1.5</v>
      </c>
      <c r="AE8" s="91">
        <v>1.5</v>
      </c>
      <c r="AF8" s="91">
        <v>1</v>
      </c>
      <c r="AG8" s="91"/>
      <c r="AH8" s="91"/>
      <c r="AI8" s="41">
        <f t="shared" si="0"/>
        <v>48.5</v>
      </c>
      <c r="AJ8" s="31">
        <v>44442</v>
      </c>
      <c r="AK8" s="19">
        <v>2150</v>
      </c>
      <c r="AL8" s="101"/>
      <c r="AM8" s="22">
        <f>AI8*AL6</f>
        <v>2561.8004484304934</v>
      </c>
      <c r="AN8" s="87">
        <f t="shared" si="1"/>
        <v>-481.80044843049336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>
        <v>1</v>
      </c>
      <c r="T9" s="91">
        <v>2</v>
      </c>
      <c r="U9" s="91">
        <v>1</v>
      </c>
      <c r="V9" s="91">
        <v>1</v>
      </c>
      <c r="W9" s="91">
        <v>0</v>
      </c>
      <c r="X9" s="91">
        <v>0</v>
      </c>
      <c r="Y9" s="91">
        <v>1</v>
      </c>
      <c r="Z9" s="91">
        <v>1</v>
      </c>
      <c r="AA9" s="91">
        <v>1</v>
      </c>
      <c r="AB9" s="91">
        <v>1</v>
      </c>
      <c r="AC9" s="91">
        <v>1</v>
      </c>
      <c r="AD9" s="91">
        <v>1</v>
      </c>
      <c r="AE9" s="91">
        <v>1</v>
      </c>
      <c r="AF9" s="91">
        <v>1</v>
      </c>
      <c r="AG9" s="91"/>
      <c r="AH9" s="91"/>
      <c r="AI9" s="41">
        <f t="shared" si="0"/>
        <v>24</v>
      </c>
      <c r="AJ9" s="31">
        <v>44443</v>
      </c>
      <c r="AK9" s="19">
        <v>60</v>
      </c>
      <c r="AL9" s="101"/>
      <c r="AM9" s="22">
        <f>AI9*AL6</f>
        <v>1267.6950672645739</v>
      </c>
      <c r="AN9" s="87">
        <f t="shared" si="1"/>
        <v>232.30493273542606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>
        <v>1</v>
      </c>
      <c r="W10" s="91">
        <v>1</v>
      </c>
      <c r="X10" s="91">
        <v>1</v>
      </c>
      <c r="Y10" s="91">
        <v>1</v>
      </c>
      <c r="Z10" s="91">
        <v>1</v>
      </c>
      <c r="AA10" s="91">
        <v>2</v>
      </c>
      <c r="AB10" s="91">
        <v>1</v>
      </c>
      <c r="AC10" s="91">
        <v>0</v>
      </c>
      <c r="AD10" s="91">
        <v>0</v>
      </c>
      <c r="AE10" s="91">
        <v>0</v>
      </c>
      <c r="AF10" s="91">
        <v>1</v>
      </c>
      <c r="AG10" s="91">
        <v>0</v>
      </c>
      <c r="AH10" s="91"/>
      <c r="AI10" s="41">
        <f t="shared" si="0"/>
        <v>27.5</v>
      </c>
      <c r="AJ10" s="31">
        <v>44444</v>
      </c>
      <c r="AK10" s="19"/>
      <c r="AL10" s="101"/>
      <c r="AM10" s="22">
        <f>AI10*AL6</f>
        <v>1452.567264573991</v>
      </c>
      <c r="AN10" s="87">
        <f t="shared" si="1"/>
        <v>547.432735426009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2000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>
        <v>1.5</v>
      </c>
      <c r="Q11" s="91">
        <v>1.5</v>
      </c>
      <c r="R11" s="91">
        <v>1.5</v>
      </c>
      <c r="S11" s="91">
        <v>1.5</v>
      </c>
      <c r="T11" s="91">
        <v>2.5</v>
      </c>
      <c r="U11" s="91">
        <v>1.5</v>
      </c>
      <c r="V11" s="91">
        <v>1</v>
      </c>
      <c r="W11" s="91">
        <v>1.5</v>
      </c>
      <c r="X11" s="91">
        <v>1.5</v>
      </c>
      <c r="Y11" s="91">
        <v>1.5</v>
      </c>
      <c r="Z11" s="91">
        <v>0.5</v>
      </c>
      <c r="AA11" s="91">
        <v>0</v>
      </c>
      <c r="AB11" s="91">
        <v>1.5</v>
      </c>
      <c r="AC11" s="91">
        <v>1</v>
      </c>
      <c r="AD11" s="91">
        <v>1.5</v>
      </c>
      <c r="AE11" s="91">
        <v>1.5</v>
      </c>
      <c r="AF11" s="91">
        <v>1</v>
      </c>
      <c r="AG11" s="91"/>
      <c r="AH11" s="91"/>
      <c r="AI11" s="41">
        <f t="shared" si="0"/>
        <v>36</v>
      </c>
      <c r="AJ11" s="31">
        <v>44445</v>
      </c>
      <c r="AK11" s="19">
        <v>20</v>
      </c>
      <c r="AL11" s="101"/>
      <c r="AM11" s="22">
        <f>AI11*AL6</f>
        <v>1901.5426008968609</v>
      </c>
      <c r="AN11" s="52">
        <f t="shared" si="1"/>
        <v>98.457399103139096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37" t="s">
        <v>125</v>
      </c>
      <c r="C13" s="138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39"/>
      <c r="C14" s="140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37"/>
      <c r="C15" s="138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37"/>
      <c r="C16" s="138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37"/>
      <c r="C17" s="138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37"/>
      <c r="C18" s="138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>
        <f>1595+110</f>
        <v>1705</v>
      </c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37"/>
      <c r="C19" s="138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37"/>
      <c r="C20" s="138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>
        <v>780</v>
      </c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37"/>
      <c r="C21" s="138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>
        <v>80</v>
      </c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37"/>
      <c r="C22" s="138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>
        <v>85</v>
      </c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>
        <v>160</v>
      </c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>
        <v>300</v>
      </c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>
        <v>120</v>
      </c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>
        <v>268</v>
      </c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>
        <v>130</v>
      </c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>
        <v>120</v>
      </c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>
        <f>40+330+80+95+40</f>
        <v>585</v>
      </c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>
        <f>503+38+20</f>
        <v>561</v>
      </c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35"/>
      <c r="B36" s="136"/>
      <c r="C36" s="50">
        <f>SUM(C6:C35)</f>
        <v>11779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11</v>
      </c>
      <c r="Q36" s="44">
        <f t="shared" si="3"/>
        <v>11</v>
      </c>
      <c r="R36" s="44">
        <f t="shared" si="3"/>
        <v>11</v>
      </c>
      <c r="S36" s="44">
        <f t="shared" si="3"/>
        <v>11</v>
      </c>
      <c r="T36" s="44">
        <f t="shared" si="3"/>
        <v>8.5</v>
      </c>
      <c r="U36" s="44">
        <f t="shared" si="3"/>
        <v>8</v>
      </c>
      <c r="V36" s="44">
        <f t="shared" si="3"/>
        <v>6</v>
      </c>
      <c r="W36" s="44">
        <f t="shared" si="3"/>
        <v>7</v>
      </c>
      <c r="X36" s="44">
        <f t="shared" si="3"/>
        <v>7</v>
      </c>
      <c r="Y36" s="44">
        <f t="shared" si="3"/>
        <v>8</v>
      </c>
      <c r="Z36" s="44">
        <f t="shared" si="3"/>
        <v>7.5</v>
      </c>
      <c r="AA36" s="44">
        <f t="shared" si="3"/>
        <v>11.5</v>
      </c>
      <c r="AB36" s="44">
        <f t="shared" si="3"/>
        <v>8</v>
      </c>
      <c r="AC36" s="44">
        <f t="shared" si="3"/>
        <v>5</v>
      </c>
      <c r="AD36" s="44">
        <f t="shared" si="3"/>
        <v>6.5</v>
      </c>
      <c r="AE36" s="44">
        <f t="shared" si="3"/>
        <v>6.5</v>
      </c>
      <c r="AF36" s="44">
        <f t="shared" si="3"/>
        <v>7</v>
      </c>
      <c r="AG36" s="44">
        <f t="shared" si="3"/>
        <v>0</v>
      </c>
      <c r="AH36" s="44">
        <f t="shared" si="3"/>
        <v>0</v>
      </c>
      <c r="AI36" s="44">
        <f t="shared" si="3"/>
        <v>223</v>
      </c>
      <c r="AJ36" s="45"/>
      <c r="AK36" s="47">
        <f>SUM(AK6:AK35)</f>
        <v>11779</v>
      </c>
      <c r="AL36" s="103"/>
      <c r="AM36" s="23">
        <f>SUM(AM6:AM35)</f>
        <v>11779</v>
      </c>
      <c r="AN36" s="23">
        <f>SUM(AN6:AN35)</f>
        <v>0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34">
        <f>C36-AK36</f>
        <v>0</v>
      </c>
      <c r="R39" s="134"/>
      <c r="S39" s="134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07" t="s">
        <v>39</v>
      </c>
      <c r="B1" s="107"/>
      <c r="C1" s="107"/>
      <c r="D1" s="107"/>
      <c r="E1" s="107"/>
      <c r="F1" s="107"/>
      <c r="G1" s="107"/>
      <c r="H1" s="107"/>
    </row>
    <row r="2" spans="1:2901" ht="18.600000000000001" hidden="1" thickBot="1" x14ac:dyDescent="0.4">
      <c r="A2" s="108" t="s">
        <v>40</v>
      </c>
      <c r="B2" s="108"/>
      <c r="C2" s="108"/>
      <c r="D2" s="108"/>
      <c r="E2" s="108"/>
      <c r="F2" s="108"/>
      <c r="G2" s="108"/>
      <c r="H2" s="108"/>
    </row>
    <row r="3" spans="1:2901" ht="32.25" hidden="1" customHeight="1" thickBot="1" x14ac:dyDescent="0.6">
      <c r="A3" s="109" t="s">
        <v>41</v>
      </c>
      <c r="B3" s="110"/>
      <c r="C3" s="148"/>
      <c r="D3" s="128"/>
      <c r="E3" s="73"/>
      <c r="F3" s="53"/>
      <c r="G3" s="28"/>
      <c r="H3" s="2"/>
    </row>
    <row r="4" spans="1:2901" s="21" customFormat="1" ht="19.5" customHeight="1" x14ac:dyDescent="0.3">
      <c r="A4" s="154" t="s">
        <v>37</v>
      </c>
      <c r="B4" s="153" t="s">
        <v>0</v>
      </c>
      <c r="C4" s="152" t="s">
        <v>38</v>
      </c>
      <c r="D4" s="152" t="s">
        <v>29</v>
      </c>
      <c r="E4" s="118" t="s">
        <v>30</v>
      </c>
      <c r="F4" s="149" t="s">
        <v>56</v>
      </c>
      <c r="G4" s="123" t="s">
        <v>57</v>
      </c>
      <c r="H4" s="114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1"/>
      <c r="B5" s="133"/>
      <c r="C5" s="133"/>
      <c r="D5" s="133"/>
      <c r="E5" s="117"/>
      <c r="F5" s="150"/>
      <c r="G5" s="124"/>
      <c r="H5" s="115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35"/>
      <c r="B62" s="136"/>
      <c r="C62" s="136"/>
      <c r="D62" s="151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62:D62"/>
    <mergeCell ref="D4:D5"/>
    <mergeCell ref="C4:C5"/>
    <mergeCell ref="B4:B5"/>
    <mergeCell ref="A4:A5"/>
    <mergeCell ref="A1:H1"/>
    <mergeCell ref="A2:H2"/>
    <mergeCell ref="A3:B3"/>
    <mergeCell ref="C3:D3"/>
    <mergeCell ref="G4:G5"/>
    <mergeCell ref="H4:H5"/>
    <mergeCell ref="E4:E5"/>
    <mergeCell ref="F4:F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2021-09-29T12:41:13Z</dcterms:modified>
</cp:coreProperties>
</file>