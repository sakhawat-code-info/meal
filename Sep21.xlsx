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108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Sheet1!$A$1:$AO$36</definedName>
  </definedNames>
  <calcPr calcId="152511"/>
</workbook>
</file>

<file path=xl/calcChain.xml><?xml version="1.0" encoding="utf-8"?>
<calcChain xmlns="http://schemas.openxmlformats.org/spreadsheetml/2006/main">
  <c r="C8" i="1" l="1"/>
  <c r="AK18" i="1" l="1"/>
  <c r="AK6" i="1" l="1"/>
  <c r="C36" i="1" l="1"/>
  <c r="AI13" i="1" l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H36" i="1"/>
  <c r="AB36" i="1" l="1"/>
  <c r="AC36" i="1"/>
  <c r="AD36" i="1"/>
  <c r="AE36" i="1"/>
  <c r="AF36" i="1"/>
  <c r="AG36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6" i="1" l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D36" i="1"/>
  <c r="AI7" i="1"/>
  <c r="AI8" i="1"/>
  <c r="AI9" i="1"/>
  <c r="AI10" i="1"/>
  <c r="AI11" i="1"/>
  <c r="AI12" i="1"/>
  <c r="AI6" i="1" l="1"/>
  <c r="AI36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6" i="1"/>
  <c r="Q39" i="1" s="1"/>
  <c r="AL6" i="1" l="1"/>
  <c r="AM10" i="1" s="1"/>
  <c r="AN10" i="1" s="1"/>
  <c r="AM20" i="1" l="1"/>
  <c r="AN20" i="1" s="1"/>
  <c r="AM7" i="1"/>
  <c r="AN7" i="1" s="1"/>
  <c r="AM9" i="1"/>
  <c r="AN9" i="1" s="1"/>
  <c r="AM14" i="1"/>
  <c r="AN14" i="1" s="1"/>
  <c r="AM28" i="1"/>
  <c r="AN28" i="1" s="1"/>
  <c r="AM30" i="1"/>
  <c r="AN30" i="1" s="1"/>
  <c r="AM8" i="1"/>
  <c r="AN8" i="1" s="1"/>
  <c r="AM34" i="1"/>
  <c r="AN34" i="1" s="1"/>
  <c r="AM16" i="1"/>
  <c r="AN16" i="1" s="1"/>
  <c r="AM12" i="1"/>
  <c r="AN12" i="1" s="1"/>
  <c r="AM24" i="1"/>
  <c r="AN24" i="1" s="1"/>
  <c r="AM33" i="1"/>
  <c r="AN33" i="1" s="1"/>
  <c r="AM15" i="1"/>
  <c r="AN15" i="1" s="1"/>
  <c r="AM25" i="1"/>
  <c r="AN25" i="1" s="1"/>
  <c r="AM29" i="1"/>
  <c r="AN29" i="1" s="1"/>
  <c r="AM11" i="1"/>
  <c r="AN11" i="1" s="1"/>
  <c r="AM32" i="1"/>
  <c r="AN32" i="1" s="1"/>
  <c r="AM17" i="1"/>
  <c r="AN17" i="1" s="1"/>
  <c r="AM21" i="1"/>
  <c r="AN21" i="1" s="1"/>
  <c r="AM26" i="1"/>
  <c r="AN26" i="1" s="1"/>
  <c r="AM31" i="1"/>
  <c r="AN31" i="1" s="1"/>
  <c r="AM35" i="1"/>
  <c r="AN35" i="1" s="1"/>
  <c r="AM6" i="1"/>
  <c r="AN6" i="1" s="1"/>
  <c r="AM13" i="1"/>
  <c r="AN13" i="1" s="1"/>
  <c r="AM18" i="1"/>
  <c r="AN18" i="1" s="1"/>
  <c r="AM22" i="1"/>
  <c r="AN22" i="1" s="1"/>
  <c r="AM19" i="1"/>
  <c r="AN19" i="1" s="1"/>
  <c r="AM23" i="1"/>
  <c r="AN23" i="1" s="1"/>
  <c r="AM27" i="1"/>
  <c r="AN27" i="1" s="1"/>
  <c r="AN36" i="1" l="1"/>
  <c r="AM36" i="1"/>
</calcChain>
</file>

<file path=xl/sharedStrings.xml><?xml version="1.0" encoding="utf-8"?>
<sst xmlns="http://schemas.openxmlformats.org/spreadsheetml/2006/main" count="281" uniqueCount="126">
  <si>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</si>
  <si>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</si>
  <si>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</si>
  <si>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</si>
  <si>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</si>
  <si>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</si>
  <si>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</si>
  <si>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</si>
  <si>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</si>
  <si>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</si>
  <si>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</si>
  <si>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</si>
  <si>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</si>
  <si>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</si>
  <si>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</si>
  <si>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</si>
  <si>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</si>
  <si>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</si>
  <si>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</si>
  <si>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</si>
  <si>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</si>
  <si>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</si>
  <si>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</si>
  <si>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</si>
  <si>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</si>
  <si>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</si>
  <si>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</si>
  <si>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</si>
  <si>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</si>
  <si>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</si>
  <si>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</si>
  <si>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</si>
  <si>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</si>
  <si>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</si>
  <si>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</si>
  <si>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</si>
  <si>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</si>
  <si>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</si>
  <si>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</si>
  <si>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</si>
  <si>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</si>
  <si>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</si>
  <si>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</si>
  <si>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</si>
  <si>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</si>
  <si>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</si>
  <si>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</si>
  <si>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</si>
  <si>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</si>
  <si>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</si>
  <si>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</si>
  <si>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</si>
  <si>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</si>
  <si>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</si>
  <si>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</si>
  <si>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</si>
  <si>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</si>
  <si>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</si>
  <si>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</si>
  <si>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</si>
  <si>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</si>
  <si>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</si>
  <si>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</si>
  <si>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</si>
  <si>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</si>
  <si>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</si>
  <si>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</si>
  <si>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</si>
  <si>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</si>
  <si>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</si>
  <si>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</si>
  <si>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</si>
  <si>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</si>
  <si>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</si>
  <si>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</si>
  <si>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</si>
  <si>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</si>
  <si>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</si>
  <si>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</si>
  <si>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</si>
  <si>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</si>
  <si>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</si>
  <si>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</si>
  <si>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</si>
  <si>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</si>
  <si>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</si>
  <si>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</si>
  <si>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</si>
  <si>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</si>
  <si>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</si>
  <si>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</si>
  <si>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</si>
  <si>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</si>
  <si>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</si>
  <si>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</si>
  <si>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</si>
  <si>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</si>
  <si>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</si>
  <si>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</si>
  <si>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</si>
  <si>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</si>
  <si>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</si>
  <si>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</si>
  <si>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</si>
  <si>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</si>
  <si>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</si>
  <si>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</si>
  <si>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</si>
  <si>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</si>
  <si>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</si>
  <si>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</si>
  <si>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</si>
  <si>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</si>
  <si>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</si>
  <si>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</si>
  <si>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</si>
  <si>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</si>
  <si>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</si>
  <si>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</si>
  <si>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Jiku Das</t>
  </si>
  <si>
    <t>Sujon Ali</t>
  </si>
  <si>
    <t>Meal Rate</t>
  </si>
  <si>
    <t>Per Person Cast</t>
  </si>
  <si>
    <t>Due</t>
  </si>
  <si>
    <t>Sagirul Islam</t>
  </si>
  <si>
    <t xml:space="preserve">Note: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</si>
</sst>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b/>
      <sz val="24"/>
      <color rgb="FFFF0000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6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20" fillId="4" borderId="1" xfId="0" applyFont="1" applyFill="1" applyBorder="1"/>
    <xf numFmtId="0" fontId="18" fillId="0" borderId="0" xfId="0" applyFont="1"/>
    <xf numFmtId="3" fontId="16" fillId="4" borderId="1" xfId="0" applyNumberFormat="1" applyFont="1" applyFill="1" applyBorder="1" applyAlignment="1">
      <alignment horizontal="center" vertical="center"/>
    </xf>
    <xf numFmtId="0" fontId="20" fillId="0" borderId="0" xfId="0" applyFont="1"/>
    <xf numFmtId="0" fontId="18" fillId="0" borderId="0" xfId="0" applyFont="1" applyBorder="1"/>
    <xf numFmtId="0" fontId="11" fillId="4" borderId="1" xfId="0" applyFont="1" applyFill="1" applyBorder="1" applyAlignment="1">
      <alignment horizontal="center" vertical="center"/>
    </xf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5" fillId="2" borderId="1" xfId="0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/>
    </xf>
    <xf numFmtId="0" fontId="25" fillId="2" borderId="1" xfId="0" applyFont="1" applyFill="1" applyBorder="1" applyAlignment="1">
      <alignment horizontal="center" vertical="center"/>
    </xf>
    <xf numFmtId="0" fontId="25" fillId="0" borderId="0" xfId="0" applyFont="1" applyAlignment="1">
      <alignment horizontal="centerContinuous"/>
    </xf>
    <xf numFmtId="0" fontId="26" fillId="0" borderId="0" xfId="0" applyFont="1" applyAlignment="1">
      <alignment horizontal="centerContinuous"/>
    </xf>
    <xf numFmtId="0" fontId="26" fillId="0" borderId="1" xfId="0" applyFont="1" applyBorder="1"/>
    <xf numFmtId="0" fontId="26" fillId="0" borderId="1" xfId="0" applyFont="1" applyBorder="1" applyAlignment="1">
      <alignment horizontal="center"/>
    </xf>
    <xf numFmtId="0" fontId="25" fillId="2" borderId="1" xfId="0" applyFont="1" applyFill="1" applyBorder="1" applyAlignment="1">
      <alignment horizontal="left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left" vertical="center"/>
    </xf>
    <xf numFmtId="0" fontId="25" fillId="0" borderId="1" xfId="0" applyFont="1" applyFill="1" applyBorder="1" applyAlignment="1">
      <alignment horizontal="left" vertical="center" wrapText="1"/>
    </xf>
    <xf numFmtId="0" fontId="25" fillId="0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0" fontId="26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 vertical="center"/>
    </xf>
    <xf numFmtId="0" fontId="28" fillId="2" borderId="1" xfId="0" applyFont="1" applyFill="1" applyBorder="1"/>
    <xf numFmtId="0" fontId="28" fillId="2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center" vertical="center" wrapText="1"/>
    </xf>
    <xf numFmtId="167" fontId="29" fillId="2" borderId="1" xfId="0" applyNumberFormat="1" applyFont="1" applyFill="1" applyBorder="1" applyAlignment="1">
      <alignment horizontal="center" vertical="center"/>
    </xf>
    <xf numFmtId="165" fontId="28" fillId="2" borderId="1" xfId="0" applyNumberFormat="1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left" vertical="center"/>
    </xf>
    <xf numFmtId="0" fontId="28" fillId="0" borderId="1" xfId="0" applyFont="1" applyFill="1" applyBorder="1" applyAlignment="1">
      <alignment horizontal="left" vertical="center" wrapText="1"/>
    </xf>
    <xf numFmtId="0" fontId="28" fillId="0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vertical="center" wrapText="1"/>
    </xf>
    <xf numFmtId="168" fontId="30" fillId="0" borderId="1" xfId="0" applyNumberFormat="1" applyFont="1" applyBorder="1"/>
    <xf numFmtId="0" fontId="30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0" fontId="21" fillId="2" borderId="1" xfId="0" applyFont="1" applyFill="1" applyBorder="1" applyAlignment="1">
      <alignment horizontal="left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24" fillId="2" borderId="1" xfId="0" applyNumberFormat="1" applyFont="1" applyFill="1" applyBorder="1" applyAlignment="1">
      <alignment horizontal="center" vertical="center"/>
    </xf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20" fillId="4" borderId="1" xfId="0" applyNumberFormat="1" applyFont="1" applyFill="1" applyBorder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21" fillId="4" borderId="1" xfId="0" applyFont="1" applyFill="1" applyBorder="1" applyAlignment="1">
      <alignment horizontal="left" vertical="center" wrapText="1"/>
    </xf>
    <xf numFmtId="3" fontId="20" fillId="0" borderId="0" xfId="0" applyNumberFormat="1" applyFont="1" applyBorder="1" applyAlignment="1">
      <alignment horizontal="center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7" fillId="2" borderId="14" xfId="0" applyFont="1" applyFill="1" applyBorder="1" applyAlignment="1">
      <alignment horizontal="center" vertical="top" wrapText="1"/>
    </xf>
    <xf numFmtId="0" fontId="27" fillId="2" borderId="15" xfId="0" applyFont="1" applyFill="1" applyBorder="1" applyAlignment="1">
      <alignment horizontal="center" vertical="top" wrapText="1"/>
    </xf>
    <xf numFmtId="0" fontId="27" fillId="2" borderId="14" xfId="0" applyFont="1" applyFill="1" applyBorder="1" applyAlignment="1">
      <alignment horizontal="left" vertical="center" wrapText="1"/>
    </xf>
    <xf numFmtId="0" fontId="27" fillId="2" borderId="15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7" fillId="9" borderId="5" xfId="0" applyFont="1" applyFill="1" applyBorder="1"/>
    <xf numFmtId="0" fontId="7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98"/>
  <sheetViews>
    <sheetView tabSelected="1" topLeftCell="I1" zoomScale="85" zoomScaleNormal="85" zoomScaleSheetLayoutView="85" workbookViewId="0">
      <pane ySplit="5" topLeftCell="A6" activePane="bottomLeft" state="frozen"/>
      <selection pane="bottomLeft" activeCell="AB12" sqref="AB12"/>
    </sheetView>
  </sheetViews>
  <sheetFormatPr defaultRowHeight="21" x14ac:dyDescent="0.4"/>
  <cols>
    <col min="1" max="1" width="6.21875" style="48" customWidth="1"/>
    <col min="2" max="2" width="26.109375" style="46" customWidth="1"/>
    <col min="3" max="3" width="11.33203125" style="46" customWidth="1"/>
    <col min="4" max="5" width="6" style="48" customWidth="1"/>
    <col min="6" max="6" width="6" style="96" customWidth="1"/>
    <col min="7" max="10" width="6" style="97" customWidth="1"/>
    <col min="11" max="12" width="6" style="48" customWidth="1"/>
    <col min="13" max="13" width="6" style="97" customWidth="1"/>
    <col min="14" max="14" width="6" style="98" customWidth="1"/>
    <col min="15" max="33" width="6" style="48" customWidth="1"/>
    <col min="34" max="34" width="4.44140625" style="48" customWidth="1"/>
    <col min="35" max="35" width="7.88671875" style="46" customWidth="1"/>
    <col min="36" max="36" width="10.33203125" style="46" customWidth="1"/>
    <col min="37" max="37" width="11" style="48" customWidth="1"/>
    <col min="38" max="38" width="17.44140625" style="104" bestFit="1" customWidth="1"/>
    <col min="39" max="39" width="14.21875" style="29" customWidth="1"/>
    <col min="40" max="40" width="14.5546875" style="25" customWidth="1"/>
    <col min="41" max="41" width="15.33203125" customWidth="1"/>
    <col min="42" max="164" width="4" style="12" customWidth="1"/>
    <col min="165" max="2934" width="9" style="12"/>
  </cols>
  <sheetData>
    <row r="1" spans="1:2934" ht="28.8" hidden="1" x14ac:dyDescent="0.3">
      <c r="A1" s="114" t="s">
        <v>39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114"/>
      <c r="AD1" s="114"/>
      <c r="AE1" s="114"/>
      <c r="AF1" s="114"/>
      <c r="AG1" s="114"/>
      <c r="AH1" s="114"/>
      <c r="AI1" s="114"/>
      <c r="AJ1" s="114"/>
      <c r="AK1" s="114"/>
      <c r="AL1" s="114"/>
      <c r="AM1" s="114"/>
      <c r="AN1" s="114"/>
      <c r="AO1" s="114"/>
    </row>
    <row r="2" spans="1:2934" ht="18" hidden="1" x14ac:dyDescent="0.35">
      <c r="A2" s="115" t="s">
        <v>40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</row>
    <row r="3" spans="1:2934" ht="31.8" hidden="1" thickBot="1" x14ac:dyDescent="0.6">
      <c r="A3" s="116" t="s">
        <v>41</v>
      </c>
      <c r="B3" s="117"/>
      <c r="C3" s="135"/>
      <c r="D3" s="135"/>
      <c r="E3" s="135"/>
      <c r="F3" s="135"/>
      <c r="G3" s="135"/>
      <c r="H3" s="135"/>
      <c r="I3" s="135"/>
      <c r="J3" s="135"/>
      <c r="K3" s="135"/>
      <c r="L3" s="136"/>
      <c r="M3" s="134" t="s">
        <v>53</v>
      </c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43"/>
      <c r="AK3" s="43"/>
      <c r="AL3" s="99"/>
      <c r="AM3" s="28"/>
      <c r="AN3" s="24"/>
      <c r="AO3" s="2"/>
    </row>
    <row r="4" spans="1:2934" s="21" customFormat="1" ht="19.5" customHeight="1" x14ac:dyDescent="0.4">
      <c r="A4" s="137" t="s">
        <v>37</v>
      </c>
      <c r="B4" s="139" t="s">
        <v>0</v>
      </c>
      <c r="C4" s="126" t="s">
        <v>34</v>
      </c>
      <c r="D4" s="118" t="s">
        <v>36</v>
      </c>
      <c r="E4" s="119"/>
      <c r="F4" s="119"/>
      <c r="G4" s="119"/>
      <c r="H4" s="119"/>
      <c r="I4" s="119"/>
      <c r="J4" s="119"/>
      <c r="K4" s="119"/>
      <c r="L4" s="119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  <c r="AD4" s="120"/>
      <c r="AE4" s="120"/>
      <c r="AF4" s="120"/>
      <c r="AG4" s="120"/>
      <c r="AH4" s="120"/>
      <c r="AI4" s="123" t="s">
        <v>30</v>
      </c>
      <c r="AJ4" s="125" t="s">
        <v>31</v>
      </c>
      <c r="AK4" s="126" t="s">
        <v>32</v>
      </c>
      <c r="AL4" s="128" t="s">
        <v>121</v>
      </c>
      <c r="AM4" s="130" t="s">
        <v>122</v>
      </c>
      <c r="AN4" s="132" t="s">
        <v>123</v>
      </c>
      <c r="AO4" s="121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2.8" x14ac:dyDescent="0.3">
      <c r="A5" s="138"/>
      <c r="B5" s="140"/>
      <c r="C5" s="127"/>
      <c r="D5" s="90">
        <v>44440</v>
      </c>
      <c r="E5" s="90">
        <v>44441</v>
      </c>
      <c r="F5" s="90">
        <v>44442</v>
      </c>
      <c r="G5" s="90">
        <v>44443</v>
      </c>
      <c r="H5" s="90">
        <v>44444</v>
      </c>
      <c r="I5" s="90">
        <v>44445</v>
      </c>
      <c r="J5" s="90">
        <v>44446</v>
      </c>
      <c r="K5" s="90">
        <v>44447</v>
      </c>
      <c r="L5" s="90">
        <v>44448</v>
      </c>
      <c r="M5" s="90">
        <v>44449</v>
      </c>
      <c r="N5" s="90">
        <v>44450</v>
      </c>
      <c r="O5" s="90">
        <v>44451</v>
      </c>
      <c r="P5" s="90">
        <v>44452</v>
      </c>
      <c r="Q5" s="90">
        <v>44453</v>
      </c>
      <c r="R5" s="90">
        <v>44454</v>
      </c>
      <c r="S5" s="90">
        <v>44455</v>
      </c>
      <c r="T5" s="90">
        <v>44456</v>
      </c>
      <c r="U5" s="90">
        <v>44457</v>
      </c>
      <c r="V5" s="90">
        <v>44458</v>
      </c>
      <c r="W5" s="90">
        <v>44459</v>
      </c>
      <c r="X5" s="90">
        <v>44460</v>
      </c>
      <c r="Y5" s="90">
        <v>44461</v>
      </c>
      <c r="Z5" s="90">
        <v>44462</v>
      </c>
      <c r="AA5" s="90">
        <v>44463</v>
      </c>
      <c r="AB5" s="90">
        <v>44464</v>
      </c>
      <c r="AC5" s="90">
        <v>44465</v>
      </c>
      <c r="AD5" s="90">
        <v>44466</v>
      </c>
      <c r="AE5" s="90">
        <v>44467</v>
      </c>
      <c r="AF5" s="90">
        <v>44468</v>
      </c>
      <c r="AG5" s="90">
        <v>44469</v>
      </c>
      <c r="AH5" s="90"/>
      <c r="AI5" s="124"/>
      <c r="AJ5" s="124"/>
      <c r="AK5" s="127"/>
      <c r="AL5" s="129"/>
      <c r="AM5" s="131"/>
      <c r="AN5" s="133"/>
      <c r="AO5" s="122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88" t="s">
        <v>9</v>
      </c>
      <c r="C6" s="41">
        <v>2000</v>
      </c>
      <c r="D6" s="91">
        <v>1</v>
      </c>
      <c r="E6" s="91">
        <v>0.5</v>
      </c>
      <c r="F6" s="91">
        <v>0</v>
      </c>
      <c r="G6" s="91">
        <v>1.5</v>
      </c>
      <c r="H6" s="91">
        <v>1.5</v>
      </c>
      <c r="I6" s="91">
        <v>1</v>
      </c>
      <c r="J6" s="91">
        <v>1</v>
      </c>
      <c r="K6" s="91">
        <v>0</v>
      </c>
      <c r="L6" s="91">
        <v>1.5</v>
      </c>
      <c r="M6" s="91">
        <v>0</v>
      </c>
      <c r="N6" s="91">
        <v>1.5</v>
      </c>
      <c r="O6" s="91">
        <v>2.5</v>
      </c>
      <c r="P6" s="91">
        <v>2.5</v>
      </c>
      <c r="Q6" s="91">
        <v>2.5</v>
      </c>
      <c r="R6" s="91">
        <v>2.5</v>
      </c>
      <c r="S6" s="91">
        <v>2.5</v>
      </c>
      <c r="T6" s="91">
        <v>0</v>
      </c>
      <c r="U6" s="91">
        <v>1.5</v>
      </c>
      <c r="V6" s="91">
        <v>1</v>
      </c>
      <c r="W6" s="91">
        <v>1.5</v>
      </c>
      <c r="X6" s="91">
        <v>1.5</v>
      </c>
      <c r="Y6" s="91">
        <v>1.5</v>
      </c>
      <c r="Z6" s="91"/>
      <c r="AA6" s="91"/>
      <c r="AB6" s="91"/>
      <c r="AC6" s="91"/>
      <c r="AD6" s="91"/>
      <c r="AE6" s="91"/>
      <c r="AF6" s="91"/>
      <c r="AG6" s="91"/>
      <c r="AH6" s="91"/>
      <c r="AI6" s="41">
        <f t="shared" ref="AI6:AI12" si="0">SUM(D6:AH6)</f>
        <v>29</v>
      </c>
      <c r="AJ6" s="31">
        <v>44440</v>
      </c>
      <c r="AK6" s="19">
        <f>1550+490+800+200+645+160+260</f>
        <v>4105</v>
      </c>
      <c r="AL6" s="100">
        <f>AK36/AI36</f>
        <v>60.719298245614034</v>
      </c>
      <c r="AM6" s="22">
        <f>AI6*AL6</f>
        <v>1760.859649122807</v>
      </c>
      <c r="AN6" s="52">
        <f t="shared" ref="AN6:AN35" si="1">C6-AM6</f>
        <v>239.14035087719299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89" t="s">
        <v>117</v>
      </c>
      <c r="C7" s="41">
        <v>2000</v>
      </c>
      <c r="D7" s="91">
        <v>1</v>
      </c>
      <c r="E7" s="91">
        <v>1.5</v>
      </c>
      <c r="F7" s="91">
        <v>2.5</v>
      </c>
      <c r="G7" s="91">
        <v>1.5</v>
      </c>
      <c r="H7" s="91">
        <v>1.5</v>
      </c>
      <c r="I7" s="91">
        <v>1.5</v>
      </c>
      <c r="J7" s="91">
        <v>1</v>
      </c>
      <c r="K7" s="91">
        <v>0</v>
      </c>
      <c r="L7" s="91">
        <v>1.5</v>
      </c>
      <c r="M7" s="91">
        <v>2.5</v>
      </c>
      <c r="N7" s="91">
        <v>1.5</v>
      </c>
      <c r="O7" s="91">
        <v>2.5</v>
      </c>
      <c r="P7" s="91">
        <v>2.5</v>
      </c>
      <c r="Q7" s="91">
        <v>2.5</v>
      </c>
      <c r="R7" s="91">
        <v>2.5</v>
      </c>
      <c r="S7" s="91">
        <v>2.5</v>
      </c>
      <c r="T7" s="91">
        <v>1.5</v>
      </c>
      <c r="U7" s="91">
        <v>1.5</v>
      </c>
      <c r="V7" s="91">
        <v>1</v>
      </c>
      <c r="W7" s="91">
        <v>1.5</v>
      </c>
      <c r="X7" s="91">
        <v>1.5</v>
      </c>
      <c r="Y7" s="91">
        <v>1.5</v>
      </c>
      <c r="Z7" s="91"/>
      <c r="AA7" s="91"/>
      <c r="AB7" s="91"/>
      <c r="AC7" s="91"/>
      <c r="AD7" s="91"/>
      <c r="AE7" s="91"/>
      <c r="AF7" s="91"/>
      <c r="AG7" s="91"/>
      <c r="AH7" s="91"/>
      <c r="AI7" s="41">
        <f t="shared" si="0"/>
        <v>37</v>
      </c>
      <c r="AJ7" s="31">
        <v>44441</v>
      </c>
      <c r="AK7" s="19"/>
      <c r="AL7" s="101"/>
      <c r="AM7" s="22">
        <f>AI7*AL6</f>
        <v>2246.6140350877195</v>
      </c>
      <c r="AN7" s="87">
        <f t="shared" si="1"/>
        <v>-246.61403508771946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89" t="s">
        <v>118</v>
      </c>
      <c r="C8" s="41">
        <f>2000+80</f>
        <v>2080</v>
      </c>
      <c r="D8" s="91">
        <v>1</v>
      </c>
      <c r="E8" s="91">
        <v>1.5</v>
      </c>
      <c r="F8" s="91">
        <v>1</v>
      </c>
      <c r="G8" s="91">
        <v>1.5</v>
      </c>
      <c r="H8" s="91">
        <v>1.5</v>
      </c>
      <c r="I8" s="91">
        <v>1.5</v>
      </c>
      <c r="J8" s="91">
        <v>1</v>
      </c>
      <c r="K8" s="91">
        <v>0</v>
      </c>
      <c r="L8" s="91">
        <v>1.5</v>
      </c>
      <c r="M8" s="91">
        <v>3.5</v>
      </c>
      <c r="N8" s="91">
        <v>1.5</v>
      </c>
      <c r="O8" s="91">
        <v>2.5</v>
      </c>
      <c r="P8" s="91">
        <v>2.5</v>
      </c>
      <c r="Q8" s="91">
        <v>2.5</v>
      </c>
      <c r="R8" s="91">
        <v>2.5</v>
      </c>
      <c r="S8" s="91">
        <v>2.5</v>
      </c>
      <c r="T8" s="91">
        <v>1.5</v>
      </c>
      <c r="U8" s="91">
        <v>1.5</v>
      </c>
      <c r="V8" s="91">
        <v>1</v>
      </c>
      <c r="W8" s="91">
        <v>1.5</v>
      </c>
      <c r="X8" s="91">
        <v>1.5</v>
      </c>
      <c r="Y8" s="91">
        <v>1.5</v>
      </c>
      <c r="Z8" s="91"/>
      <c r="AA8" s="91"/>
      <c r="AB8" s="91"/>
      <c r="AC8" s="91"/>
      <c r="AD8" s="91"/>
      <c r="AE8" s="91"/>
      <c r="AF8" s="91"/>
      <c r="AG8" s="91"/>
      <c r="AH8" s="91"/>
      <c r="AI8" s="41">
        <f t="shared" si="0"/>
        <v>36.5</v>
      </c>
      <c r="AJ8" s="31">
        <v>44442</v>
      </c>
      <c r="AK8" s="19">
        <v>2150</v>
      </c>
      <c r="AL8" s="101"/>
      <c r="AM8" s="22">
        <f>AI8*AL6</f>
        <v>2216.2543859649122</v>
      </c>
      <c r="AN8" s="87">
        <f t="shared" si="1"/>
        <v>-136.25438596491222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2" customFormat="1" ht="24" customHeight="1" x14ac:dyDescent="0.35">
      <c r="A9" s="40">
        <v>4</v>
      </c>
      <c r="B9" s="106" t="s">
        <v>124</v>
      </c>
      <c r="C9" s="41">
        <v>1500</v>
      </c>
      <c r="D9" s="91">
        <v>1</v>
      </c>
      <c r="E9" s="91">
        <v>0</v>
      </c>
      <c r="F9" s="91">
        <v>0</v>
      </c>
      <c r="G9" s="91">
        <v>1</v>
      </c>
      <c r="H9" s="91">
        <v>1</v>
      </c>
      <c r="I9" s="91">
        <v>1</v>
      </c>
      <c r="J9" s="91">
        <v>1</v>
      </c>
      <c r="K9" s="91">
        <v>0</v>
      </c>
      <c r="L9" s="91">
        <v>1</v>
      </c>
      <c r="M9" s="91">
        <v>0</v>
      </c>
      <c r="N9" s="91">
        <v>1</v>
      </c>
      <c r="O9" s="91">
        <v>1</v>
      </c>
      <c r="P9" s="91">
        <v>1</v>
      </c>
      <c r="Q9" s="91">
        <v>1</v>
      </c>
      <c r="R9" s="91">
        <v>1</v>
      </c>
      <c r="S9" s="91">
        <v>1</v>
      </c>
      <c r="T9" s="91">
        <v>2</v>
      </c>
      <c r="U9" s="91">
        <v>1</v>
      </c>
      <c r="V9" s="91">
        <v>1</v>
      </c>
      <c r="W9" s="91">
        <v>0</v>
      </c>
      <c r="X9" s="91">
        <v>0</v>
      </c>
      <c r="Y9" s="91">
        <v>1</v>
      </c>
      <c r="Z9" s="91"/>
      <c r="AA9" s="91"/>
      <c r="AB9" s="91"/>
      <c r="AC9" s="91"/>
      <c r="AD9" s="91"/>
      <c r="AE9" s="91"/>
      <c r="AF9" s="91"/>
      <c r="AG9" s="91"/>
      <c r="AH9" s="91"/>
      <c r="AI9" s="41">
        <f t="shared" si="0"/>
        <v>17</v>
      </c>
      <c r="AJ9" s="31">
        <v>44443</v>
      </c>
      <c r="AK9" s="19">
        <v>60</v>
      </c>
      <c r="AL9" s="101"/>
      <c r="AM9" s="22">
        <f>AI9*AL6</f>
        <v>1032.2280701754387</v>
      </c>
      <c r="AN9" s="87">
        <f t="shared" si="1"/>
        <v>467.77192982456131</v>
      </c>
      <c r="AO9" s="30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  <c r="DGP9" s="33"/>
      <c r="DGQ9" s="33"/>
      <c r="DGR9" s="33"/>
      <c r="DGS9" s="33"/>
      <c r="DGT9" s="33"/>
      <c r="DGU9" s="33"/>
      <c r="DGV9" s="33"/>
      <c r="DGW9" s="33"/>
      <c r="DGX9" s="33"/>
      <c r="DGY9" s="33"/>
      <c r="DGZ9" s="33"/>
      <c r="DHA9" s="33"/>
      <c r="DHB9" s="33"/>
      <c r="DHC9" s="33"/>
      <c r="DHD9" s="33"/>
      <c r="DHE9" s="33"/>
      <c r="DHF9" s="33"/>
      <c r="DHG9" s="33"/>
      <c r="DHH9" s="33"/>
      <c r="DHI9" s="33"/>
      <c r="DHJ9" s="33"/>
      <c r="DHK9" s="33"/>
      <c r="DHL9" s="33"/>
      <c r="DHM9" s="33"/>
      <c r="DHN9" s="33"/>
      <c r="DHO9" s="33"/>
      <c r="DHP9" s="33"/>
      <c r="DHQ9" s="33"/>
      <c r="DHR9" s="33"/>
      <c r="DHS9" s="33"/>
      <c r="DHT9" s="33"/>
      <c r="DHU9" s="33"/>
      <c r="DHV9" s="33"/>
    </row>
    <row r="10" spans="1:2934" s="32" customFormat="1" ht="24" customHeight="1" x14ac:dyDescent="0.35">
      <c r="A10" s="40">
        <v>5</v>
      </c>
      <c r="B10" s="106" t="s">
        <v>119</v>
      </c>
      <c r="C10" s="41">
        <v>2000</v>
      </c>
      <c r="D10" s="91">
        <v>1</v>
      </c>
      <c r="E10" s="91">
        <v>1</v>
      </c>
      <c r="F10" s="91">
        <v>2</v>
      </c>
      <c r="G10" s="91">
        <v>1</v>
      </c>
      <c r="H10" s="91">
        <v>1</v>
      </c>
      <c r="I10" s="91">
        <v>1</v>
      </c>
      <c r="J10" s="91">
        <v>0.5</v>
      </c>
      <c r="K10" s="91">
        <v>0</v>
      </c>
      <c r="L10" s="91">
        <v>1</v>
      </c>
      <c r="M10" s="91">
        <v>2</v>
      </c>
      <c r="N10" s="91">
        <v>1</v>
      </c>
      <c r="O10" s="91">
        <v>1</v>
      </c>
      <c r="P10" s="91">
        <v>1</v>
      </c>
      <c r="Q10" s="91">
        <v>1</v>
      </c>
      <c r="R10" s="91">
        <v>1</v>
      </c>
      <c r="S10" s="91">
        <v>1</v>
      </c>
      <c r="T10" s="91">
        <v>1</v>
      </c>
      <c r="U10" s="91">
        <v>1</v>
      </c>
      <c r="V10" s="91">
        <v>1</v>
      </c>
      <c r="W10" s="91">
        <v>1</v>
      </c>
      <c r="X10" s="91">
        <v>1</v>
      </c>
      <c r="Y10" s="91">
        <v>1</v>
      </c>
      <c r="Z10" s="91"/>
      <c r="AA10" s="91"/>
      <c r="AB10" s="91"/>
      <c r="AC10" s="91"/>
      <c r="AD10" s="91"/>
      <c r="AE10" s="91"/>
      <c r="AF10" s="91"/>
      <c r="AG10" s="91"/>
      <c r="AH10" s="91"/>
      <c r="AI10" s="41">
        <f t="shared" si="0"/>
        <v>22.5</v>
      </c>
      <c r="AJ10" s="31">
        <v>44444</v>
      </c>
      <c r="AK10" s="19"/>
      <c r="AL10" s="101"/>
      <c r="AM10" s="22">
        <f>AI10*AL6</f>
        <v>1366.1842105263158</v>
      </c>
      <c r="AN10" s="87">
        <f t="shared" si="1"/>
        <v>633.81578947368416</v>
      </c>
      <c r="AO10" s="30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  <c r="DGP10" s="33"/>
      <c r="DGQ10" s="33"/>
      <c r="DGR10" s="33"/>
      <c r="DGS10" s="33"/>
      <c r="DGT10" s="33"/>
      <c r="DGU10" s="33"/>
      <c r="DGV10" s="33"/>
      <c r="DGW10" s="33"/>
      <c r="DGX10" s="33"/>
      <c r="DGY10" s="33"/>
      <c r="DGZ10" s="33"/>
      <c r="DHA10" s="33"/>
      <c r="DHB10" s="33"/>
      <c r="DHC10" s="33"/>
      <c r="DHD10" s="33"/>
      <c r="DHE10" s="33"/>
      <c r="DHF10" s="33"/>
      <c r="DHG10" s="33"/>
      <c r="DHH10" s="33"/>
      <c r="DHI10" s="33"/>
      <c r="DHJ10" s="33"/>
      <c r="DHK10" s="33"/>
      <c r="DHL10" s="33"/>
      <c r="DHM10" s="33"/>
      <c r="DHN10" s="33"/>
      <c r="DHO10" s="33"/>
      <c r="DHP10" s="33"/>
      <c r="DHQ10" s="33"/>
      <c r="DHR10" s="33"/>
      <c r="DHS10" s="33"/>
      <c r="DHT10" s="33"/>
      <c r="DHU10" s="33"/>
      <c r="DHV10" s="33"/>
    </row>
    <row r="11" spans="1:2934" s="39" customFormat="1" ht="25.5" customHeight="1" x14ac:dyDescent="0.35">
      <c r="A11" s="40">
        <v>6</v>
      </c>
      <c r="B11" s="89" t="s">
        <v>120</v>
      </c>
      <c r="C11" s="41">
        <v>1500</v>
      </c>
      <c r="D11" s="91">
        <v>1</v>
      </c>
      <c r="E11" s="91">
        <v>1.5</v>
      </c>
      <c r="F11" s="91">
        <v>2.5</v>
      </c>
      <c r="G11" s="91">
        <v>1.5</v>
      </c>
      <c r="H11" s="91">
        <v>1.5</v>
      </c>
      <c r="I11" s="91">
        <v>1.5</v>
      </c>
      <c r="J11" s="91">
        <v>1</v>
      </c>
      <c r="K11" s="91">
        <v>0</v>
      </c>
      <c r="L11" s="91">
        <v>0</v>
      </c>
      <c r="M11" s="91">
        <v>0</v>
      </c>
      <c r="N11" s="91">
        <v>1.5</v>
      </c>
      <c r="O11" s="91">
        <v>1.5</v>
      </c>
      <c r="P11" s="91">
        <v>1.5</v>
      </c>
      <c r="Q11" s="91">
        <v>1.5</v>
      </c>
      <c r="R11" s="91">
        <v>1.5</v>
      </c>
      <c r="S11" s="91">
        <v>1.5</v>
      </c>
      <c r="T11" s="91">
        <v>2.5</v>
      </c>
      <c r="U11" s="91">
        <v>1.5</v>
      </c>
      <c r="V11" s="91">
        <v>1</v>
      </c>
      <c r="W11" s="91">
        <v>1.5</v>
      </c>
      <c r="X11" s="91">
        <v>1.5</v>
      </c>
      <c r="Y11" s="91">
        <v>1.5</v>
      </c>
      <c r="Z11" s="91"/>
      <c r="AA11" s="91"/>
      <c r="AB11" s="91"/>
      <c r="AC11" s="91"/>
      <c r="AD11" s="91"/>
      <c r="AE11" s="91"/>
      <c r="AF11" s="91"/>
      <c r="AG11" s="91"/>
      <c r="AH11" s="91"/>
      <c r="AI11" s="41">
        <f t="shared" si="0"/>
        <v>29</v>
      </c>
      <c r="AJ11" s="31">
        <v>44445</v>
      </c>
      <c r="AK11" s="19">
        <v>20</v>
      </c>
      <c r="AL11" s="101"/>
      <c r="AM11" s="22">
        <f>AI11*AL6</f>
        <v>1760.859649122807</v>
      </c>
      <c r="AN11" s="52">
        <f t="shared" si="1"/>
        <v>-260.85964912280701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9" customFormat="1" ht="24" customHeight="1" x14ac:dyDescent="0.35">
      <c r="A12" s="40">
        <v>7</v>
      </c>
      <c r="B12" s="72"/>
      <c r="C12" s="30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2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41">
        <f t="shared" si="0"/>
        <v>0</v>
      </c>
      <c r="AJ12" s="31">
        <v>44446</v>
      </c>
      <c r="AK12" s="19"/>
      <c r="AL12" s="101"/>
      <c r="AM12" s="22">
        <f>AI12*AL6</f>
        <v>0</v>
      </c>
      <c r="AN12" s="52">
        <f t="shared" si="1"/>
        <v>0</v>
      </c>
      <c r="AO12" s="38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  <c r="DGP12" s="20"/>
      <c r="DGQ12" s="20"/>
      <c r="DGR12" s="20"/>
      <c r="DGS12" s="20"/>
      <c r="DGT12" s="20"/>
      <c r="DGU12" s="20"/>
      <c r="DGV12" s="20"/>
      <c r="DGW12" s="20"/>
      <c r="DGX12" s="20"/>
      <c r="DGY12" s="20"/>
      <c r="DGZ12" s="20"/>
      <c r="DHA12" s="20"/>
      <c r="DHB12" s="20"/>
      <c r="DHC12" s="20"/>
      <c r="DHD12" s="20"/>
      <c r="DHE12" s="20"/>
      <c r="DHF12" s="20"/>
      <c r="DHG12" s="20"/>
      <c r="DHH12" s="20"/>
      <c r="DHI12" s="20"/>
      <c r="DHJ12" s="20"/>
      <c r="DHK12" s="20"/>
      <c r="DHL12" s="20"/>
      <c r="DHM12" s="20"/>
      <c r="DHN12" s="20"/>
      <c r="DHO12" s="20"/>
      <c r="DHP12" s="20"/>
      <c r="DHQ12" s="20"/>
      <c r="DHR12" s="20"/>
      <c r="DHS12" s="20"/>
      <c r="DHT12" s="20"/>
      <c r="DHU12" s="20"/>
      <c r="DHV12" s="20"/>
    </row>
    <row r="13" spans="1:2934" s="32" customFormat="1" ht="24" customHeight="1" x14ac:dyDescent="0.35">
      <c r="A13" s="40">
        <v>8</v>
      </c>
      <c r="B13" s="110" t="s">
        <v>125</v>
      </c>
      <c r="C13" s="111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2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41">
        <f t="shared" ref="AI13:AI35" si="2">SUM(D13:AH13)</f>
        <v>0</v>
      </c>
      <c r="AJ13" s="31">
        <v>44447</v>
      </c>
      <c r="AK13" s="19"/>
      <c r="AL13" s="101"/>
      <c r="AM13" s="22">
        <f>AI13*AL6</f>
        <v>0</v>
      </c>
      <c r="AN13" s="52">
        <f t="shared" si="1"/>
        <v>0</v>
      </c>
      <c r="AO13" s="30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  <c r="DGP13" s="33"/>
      <c r="DGQ13" s="33"/>
      <c r="DGR13" s="33"/>
      <c r="DGS13" s="33"/>
      <c r="DGT13" s="33"/>
      <c r="DGU13" s="33"/>
      <c r="DGV13" s="33"/>
      <c r="DGW13" s="33"/>
      <c r="DGX13" s="33"/>
      <c r="DGY13" s="33"/>
      <c r="DGZ13" s="33"/>
      <c r="DHA13" s="33"/>
      <c r="DHB13" s="33"/>
      <c r="DHC13" s="33"/>
      <c r="DHD13" s="33"/>
      <c r="DHE13" s="33"/>
      <c r="DHF13" s="33"/>
      <c r="DHG13" s="33"/>
      <c r="DHH13" s="33"/>
      <c r="DHI13" s="33"/>
      <c r="DHJ13" s="33"/>
      <c r="DHK13" s="33"/>
      <c r="DHL13" s="33"/>
      <c r="DHM13" s="33"/>
      <c r="DHN13" s="33"/>
      <c r="DHO13" s="33"/>
      <c r="DHP13" s="33"/>
      <c r="DHQ13" s="33"/>
      <c r="DHR13" s="33"/>
      <c r="DHS13" s="33"/>
      <c r="DHT13" s="33"/>
      <c r="DHU13" s="33"/>
      <c r="DHV13" s="33"/>
    </row>
    <row r="14" spans="1:2934" s="39" customFormat="1" ht="24" customHeight="1" x14ac:dyDescent="0.35">
      <c r="A14" s="40">
        <v>9</v>
      </c>
      <c r="B14" s="112"/>
      <c r="C14" s="113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2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41">
        <f t="shared" si="2"/>
        <v>0</v>
      </c>
      <c r="AJ14" s="31">
        <v>44448</v>
      </c>
      <c r="AK14" s="19"/>
      <c r="AL14" s="101"/>
      <c r="AM14" s="22">
        <f>AI14*AL6</f>
        <v>0</v>
      </c>
      <c r="AN14" s="52">
        <f t="shared" si="1"/>
        <v>0</v>
      </c>
      <c r="AO14" s="38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10</v>
      </c>
      <c r="B15" s="110"/>
      <c r="C15" s="11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2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41">
        <f t="shared" si="2"/>
        <v>0</v>
      </c>
      <c r="AJ15" s="31">
        <v>44449</v>
      </c>
      <c r="AK15" s="19">
        <v>100</v>
      </c>
      <c r="AL15" s="101"/>
      <c r="AM15" s="22">
        <f>AI15*(AL6-10)</f>
        <v>0</v>
      </c>
      <c r="AN15" s="52">
        <f t="shared" si="1"/>
        <v>0</v>
      </c>
      <c r="AO15" s="38"/>
      <c r="AP15" s="20"/>
      <c r="AQ15" s="20"/>
      <c r="AR15" s="42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9" customFormat="1" ht="24" customHeight="1" x14ac:dyDescent="0.35">
      <c r="A16" s="40">
        <v>11</v>
      </c>
      <c r="B16" s="110"/>
      <c r="C16" s="111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2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41">
        <f t="shared" si="2"/>
        <v>0</v>
      </c>
      <c r="AJ16" s="31">
        <v>44450</v>
      </c>
      <c r="AK16" s="19">
        <v>30</v>
      </c>
      <c r="AL16" s="101"/>
      <c r="AM16" s="22">
        <f>AI16*(AL6-10)</f>
        <v>0</v>
      </c>
      <c r="AN16" s="52">
        <f t="shared" si="1"/>
        <v>0</v>
      </c>
      <c r="AO16" s="38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  <c r="DGP16" s="20"/>
      <c r="DGQ16" s="20"/>
      <c r="DGR16" s="20"/>
      <c r="DGS16" s="20"/>
      <c r="DGT16" s="20"/>
      <c r="DGU16" s="20"/>
      <c r="DGV16" s="20"/>
      <c r="DGW16" s="20"/>
      <c r="DGX16" s="20"/>
      <c r="DGY16" s="20"/>
      <c r="DGZ16" s="20"/>
      <c r="DHA16" s="20"/>
      <c r="DHB16" s="20"/>
      <c r="DHC16" s="20"/>
      <c r="DHD16" s="20"/>
      <c r="DHE16" s="20"/>
      <c r="DHF16" s="20"/>
      <c r="DHG16" s="20"/>
      <c r="DHH16" s="20"/>
      <c r="DHI16" s="20"/>
      <c r="DHJ16" s="20"/>
      <c r="DHK16" s="20"/>
      <c r="DHL16" s="20"/>
      <c r="DHM16" s="20"/>
      <c r="DHN16" s="20"/>
      <c r="DHO16" s="20"/>
      <c r="DHP16" s="20"/>
      <c r="DHQ16" s="20"/>
      <c r="DHR16" s="20"/>
      <c r="DHS16" s="20"/>
      <c r="DHT16" s="20"/>
      <c r="DHU16" s="20"/>
      <c r="DHV16" s="20"/>
    </row>
    <row r="17" spans="1:2934" s="32" customFormat="1" ht="24" customHeight="1" x14ac:dyDescent="0.35">
      <c r="A17" s="40">
        <v>12</v>
      </c>
      <c r="B17" s="110"/>
      <c r="C17" s="111"/>
      <c r="D17" s="91"/>
      <c r="E17" s="91"/>
      <c r="F17" s="91"/>
      <c r="G17" s="91"/>
      <c r="H17" s="91"/>
      <c r="I17" s="91"/>
      <c r="J17" s="91"/>
      <c r="K17" s="91"/>
      <c r="L17" s="91"/>
      <c r="M17" s="105"/>
      <c r="N17" s="92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41">
        <f t="shared" si="2"/>
        <v>0</v>
      </c>
      <c r="AJ17" s="31">
        <v>44451</v>
      </c>
      <c r="AK17" s="19">
        <v>420</v>
      </c>
      <c r="AL17" s="101"/>
      <c r="AM17" s="22">
        <f>AI17*(AL6-10)</f>
        <v>0</v>
      </c>
      <c r="AN17" s="52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customHeight="1" x14ac:dyDescent="0.35">
      <c r="A18" s="40">
        <v>13</v>
      </c>
      <c r="B18" s="110"/>
      <c r="C18" s="111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2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41">
        <f t="shared" si="2"/>
        <v>0</v>
      </c>
      <c r="AJ18" s="31">
        <v>44452</v>
      </c>
      <c r="AK18" s="19">
        <f>1595+110</f>
        <v>1705</v>
      </c>
      <c r="AL18" s="101"/>
      <c r="AM18" s="22">
        <f>AI18*(AL6-10)</f>
        <v>0</v>
      </c>
      <c r="AN18" s="52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2" customFormat="1" ht="24" customHeight="1" x14ac:dyDescent="0.35">
      <c r="A19" s="40">
        <v>14</v>
      </c>
      <c r="B19" s="110"/>
      <c r="C19" s="111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2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41">
        <f t="shared" si="2"/>
        <v>0</v>
      </c>
      <c r="AJ19" s="31">
        <v>44453</v>
      </c>
      <c r="AK19" s="19"/>
      <c r="AL19" s="101"/>
      <c r="AM19" s="22">
        <f>AI19*(AL6-10)</f>
        <v>0</v>
      </c>
      <c r="AN19" s="52">
        <f t="shared" si="1"/>
        <v>0</v>
      </c>
      <c r="AO19" s="30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  <c r="DGP19" s="33"/>
      <c r="DGQ19" s="33"/>
      <c r="DGR19" s="33"/>
      <c r="DGS19" s="33"/>
      <c r="DGT19" s="33"/>
      <c r="DGU19" s="33"/>
      <c r="DGV19" s="33"/>
      <c r="DGW19" s="33"/>
      <c r="DGX19" s="33"/>
      <c r="DGY19" s="33"/>
      <c r="DGZ19" s="33"/>
      <c r="DHA19" s="33"/>
      <c r="DHB19" s="33"/>
      <c r="DHC19" s="33"/>
      <c r="DHD19" s="33"/>
      <c r="DHE19" s="33"/>
      <c r="DHF19" s="33"/>
      <c r="DHG19" s="33"/>
      <c r="DHH19" s="33"/>
      <c r="DHI19" s="33"/>
      <c r="DHJ19" s="33"/>
      <c r="DHK19" s="33"/>
      <c r="DHL19" s="33"/>
      <c r="DHM19" s="33"/>
      <c r="DHN19" s="33"/>
      <c r="DHO19" s="33"/>
      <c r="DHP19" s="33"/>
      <c r="DHQ19" s="33"/>
      <c r="DHR19" s="33"/>
      <c r="DHS19" s="33"/>
      <c r="DHT19" s="33"/>
      <c r="DHU19" s="33"/>
      <c r="DHV19" s="33"/>
    </row>
    <row r="20" spans="1:2934" s="35" customFormat="1" ht="24" customHeight="1" x14ac:dyDescent="0.35">
      <c r="A20" s="40">
        <v>15</v>
      </c>
      <c r="B20" s="110"/>
      <c r="C20" s="111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2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41">
        <f t="shared" si="2"/>
        <v>0</v>
      </c>
      <c r="AJ20" s="31">
        <v>44454</v>
      </c>
      <c r="AK20" s="37">
        <v>780</v>
      </c>
      <c r="AL20" s="102"/>
      <c r="AM20" s="22">
        <f>AI20*(AL6-10)</f>
        <v>0</v>
      </c>
      <c r="AN20" s="52">
        <f t="shared" si="1"/>
        <v>0</v>
      </c>
      <c r="AO20" s="36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  <c r="DGP20" s="34"/>
      <c r="DGQ20" s="34"/>
      <c r="DGR20" s="34"/>
      <c r="DGS20" s="34"/>
      <c r="DGT20" s="34"/>
      <c r="DGU20" s="34"/>
      <c r="DGV20" s="34"/>
      <c r="DGW20" s="34"/>
      <c r="DGX20" s="34"/>
      <c r="DGY20" s="34"/>
      <c r="DGZ20" s="34"/>
      <c r="DHA20" s="34"/>
      <c r="DHB20" s="34"/>
      <c r="DHC20" s="34"/>
      <c r="DHD20" s="34"/>
      <c r="DHE20" s="34"/>
      <c r="DHF20" s="34"/>
      <c r="DHG20" s="34"/>
      <c r="DHH20" s="34"/>
      <c r="DHI20" s="34"/>
      <c r="DHJ20" s="34"/>
      <c r="DHK20" s="34"/>
      <c r="DHL20" s="34"/>
      <c r="DHM20" s="34"/>
      <c r="DHN20" s="34"/>
      <c r="DHO20" s="34"/>
      <c r="DHP20" s="34"/>
      <c r="DHQ20" s="34"/>
      <c r="DHR20" s="34"/>
      <c r="DHS20" s="34"/>
      <c r="DHT20" s="34"/>
      <c r="DHU20" s="34"/>
      <c r="DHV20" s="34"/>
    </row>
    <row r="21" spans="1:2934" s="32" customFormat="1" ht="24" customHeight="1" x14ac:dyDescent="0.35">
      <c r="A21" s="40">
        <v>16</v>
      </c>
      <c r="B21" s="110"/>
      <c r="C21" s="111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2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41">
        <f t="shared" si="2"/>
        <v>0</v>
      </c>
      <c r="AJ21" s="31">
        <v>44455</v>
      </c>
      <c r="AK21" s="19">
        <v>80</v>
      </c>
      <c r="AL21" s="101"/>
      <c r="AM21" s="22">
        <f>AI21*(AL6-10)</f>
        <v>0</v>
      </c>
      <c r="AN21" s="52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17</v>
      </c>
      <c r="B22" s="110"/>
      <c r="C22" s="111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2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41">
        <f t="shared" si="2"/>
        <v>0</v>
      </c>
      <c r="AJ22" s="31">
        <v>44456</v>
      </c>
      <c r="AK22" s="19">
        <v>85</v>
      </c>
      <c r="AL22" s="101"/>
      <c r="AM22" s="22">
        <f>AI22*(AL6-10)</f>
        <v>0</v>
      </c>
      <c r="AN22" s="52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18</v>
      </c>
      <c r="B23" s="72"/>
      <c r="C23" s="30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2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41">
        <f t="shared" si="2"/>
        <v>0</v>
      </c>
      <c r="AJ23" s="31">
        <v>44457</v>
      </c>
      <c r="AK23" s="19">
        <v>160</v>
      </c>
      <c r="AL23" s="101"/>
      <c r="AM23" s="22">
        <f>AI23*(AL6-10)</f>
        <v>0</v>
      </c>
      <c r="AN23" s="52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19</v>
      </c>
      <c r="B24" s="72"/>
      <c r="C24" s="30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2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41">
        <f t="shared" si="2"/>
        <v>0</v>
      </c>
      <c r="AJ24" s="31">
        <v>44458</v>
      </c>
      <c r="AK24" s="19">
        <v>300</v>
      </c>
      <c r="AL24" s="101"/>
      <c r="AM24" s="22">
        <f>AI24*(AL6-10)</f>
        <v>0</v>
      </c>
      <c r="AN24" s="52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customHeight="1" x14ac:dyDescent="0.35">
      <c r="A25" s="40">
        <v>20</v>
      </c>
      <c r="B25" s="72"/>
      <c r="C25" s="30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2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41">
        <f t="shared" si="2"/>
        <v>0</v>
      </c>
      <c r="AJ25" s="31">
        <v>44459</v>
      </c>
      <c r="AK25" s="19">
        <v>120</v>
      </c>
      <c r="AL25" s="101"/>
      <c r="AM25" s="22">
        <f>AI25*(AL6-10)</f>
        <v>0</v>
      </c>
      <c r="AN25" s="52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21</v>
      </c>
      <c r="B26" s="71"/>
      <c r="C26" s="30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2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41">
        <f t="shared" si="2"/>
        <v>0</v>
      </c>
      <c r="AJ26" s="31">
        <v>44460</v>
      </c>
      <c r="AK26" s="19"/>
      <c r="AL26" s="101"/>
      <c r="AM26" s="22">
        <f>AI26*(AL6-10)</f>
        <v>0</v>
      </c>
      <c r="AN26" s="52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22</v>
      </c>
      <c r="B27" s="71"/>
      <c r="C27" s="30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2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41">
        <f t="shared" si="2"/>
        <v>0</v>
      </c>
      <c r="AJ27" s="31">
        <v>44461</v>
      </c>
      <c r="AK27" s="19">
        <v>268</v>
      </c>
      <c r="AL27" s="101"/>
      <c r="AM27" s="22">
        <f>AI27*(AL6-10)</f>
        <v>0</v>
      </c>
      <c r="AN27" s="52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23</v>
      </c>
      <c r="B28" s="71"/>
      <c r="C28" s="30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2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41">
        <f t="shared" si="2"/>
        <v>0</v>
      </c>
      <c r="AJ28" s="31">
        <v>44462</v>
      </c>
      <c r="AK28" s="19"/>
      <c r="AL28" s="101"/>
      <c r="AM28" s="22">
        <f>AI28*(AL6-10)</f>
        <v>0</v>
      </c>
      <c r="AN28" s="52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customHeight="1" x14ac:dyDescent="0.35">
      <c r="A29" s="40">
        <v>24</v>
      </c>
      <c r="B29" s="71"/>
      <c r="C29" s="30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2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41">
        <f t="shared" si="2"/>
        <v>0</v>
      </c>
      <c r="AJ29" s="31">
        <v>44463</v>
      </c>
      <c r="AK29" s="19"/>
      <c r="AL29" s="101"/>
      <c r="AM29" s="22">
        <f>AI29*(AL6-10)</f>
        <v>0</v>
      </c>
      <c r="AN29" s="52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25</v>
      </c>
      <c r="B30" s="72"/>
      <c r="C30" s="30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2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41">
        <f t="shared" si="2"/>
        <v>0</v>
      </c>
      <c r="AJ30" s="31">
        <v>44464</v>
      </c>
      <c r="AK30" s="19"/>
      <c r="AL30" s="101"/>
      <c r="AM30" s="22">
        <f>AI30*(AL6-10)</f>
        <v>0</v>
      </c>
      <c r="AN30" s="52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customHeight="1" x14ac:dyDescent="0.35">
      <c r="A31" s="40">
        <v>26</v>
      </c>
      <c r="B31" s="72"/>
      <c r="C31" s="30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2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41">
        <f t="shared" si="2"/>
        <v>0</v>
      </c>
      <c r="AJ31" s="31">
        <v>44465</v>
      </c>
      <c r="AK31" s="19"/>
      <c r="AL31" s="101"/>
      <c r="AM31" s="22">
        <f>AI31*(AL6-10)</f>
        <v>0</v>
      </c>
      <c r="AN31" s="52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customHeight="1" x14ac:dyDescent="0.35">
      <c r="A32" s="40">
        <v>27</v>
      </c>
      <c r="B32" s="71"/>
      <c r="C32" s="30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2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41">
        <f t="shared" si="2"/>
        <v>0</v>
      </c>
      <c r="AJ32" s="31">
        <v>44466</v>
      </c>
      <c r="AK32" s="19"/>
      <c r="AL32" s="101"/>
      <c r="AM32" s="22">
        <f>AI32*(AL6-10)</f>
        <v>0</v>
      </c>
      <c r="AN32" s="52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28</v>
      </c>
      <c r="B33" s="71"/>
      <c r="C33" s="30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2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41">
        <f t="shared" si="2"/>
        <v>0</v>
      </c>
      <c r="AJ33" s="31">
        <v>44467</v>
      </c>
      <c r="AK33" s="19"/>
      <c r="AL33" s="101"/>
      <c r="AM33" s="22">
        <f>AI33*(AL6-10)</f>
        <v>0</v>
      </c>
      <c r="AN33" s="52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customHeight="1" x14ac:dyDescent="0.35">
      <c r="A34" s="40">
        <v>29</v>
      </c>
      <c r="B34" s="72"/>
      <c r="C34" s="30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2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41">
        <f t="shared" si="2"/>
        <v>0</v>
      </c>
      <c r="AJ34" s="31">
        <v>44468</v>
      </c>
      <c r="AK34" s="19"/>
      <c r="AL34" s="101"/>
      <c r="AM34" s="22">
        <f>AI34*(AL6-10)</f>
        <v>0</v>
      </c>
      <c r="AN34" s="52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32" customFormat="1" ht="24" customHeight="1" x14ac:dyDescent="0.35">
      <c r="A35" s="40">
        <v>30</v>
      </c>
      <c r="B35" s="71"/>
      <c r="C35" s="30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2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41">
        <f t="shared" si="2"/>
        <v>0</v>
      </c>
      <c r="AJ35" s="31">
        <v>44469</v>
      </c>
      <c r="AK35" s="19"/>
      <c r="AL35" s="101"/>
      <c r="AM35" s="22">
        <f>AI35*(AL6-10)</f>
        <v>0</v>
      </c>
      <c r="AN35" s="52">
        <f t="shared" si="1"/>
        <v>0</v>
      </c>
      <c r="AO35" s="30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  <c r="DGP35" s="33"/>
      <c r="DGQ35" s="33"/>
      <c r="DGR35" s="33"/>
      <c r="DGS35" s="33"/>
      <c r="DGT35" s="33"/>
      <c r="DGU35" s="33"/>
      <c r="DGV35" s="33"/>
      <c r="DGW35" s="33"/>
      <c r="DGX35" s="33"/>
      <c r="DGY35" s="33"/>
      <c r="DGZ35" s="33"/>
      <c r="DHA35" s="33"/>
      <c r="DHB35" s="33"/>
      <c r="DHC35" s="33"/>
      <c r="DHD35" s="33"/>
      <c r="DHE35" s="33"/>
      <c r="DHF35" s="33"/>
      <c r="DHG35" s="33"/>
      <c r="DHH35" s="33"/>
      <c r="DHI35" s="33"/>
      <c r="DHJ35" s="33"/>
      <c r="DHK35" s="33"/>
      <c r="DHL35" s="33"/>
      <c r="DHM35" s="33"/>
      <c r="DHN35" s="33"/>
      <c r="DHO35" s="33"/>
      <c r="DHP35" s="33"/>
      <c r="DHQ35" s="33"/>
      <c r="DHR35" s="33"/>
      <c r="DHS35" s="33"/>
      <c r="DHT35" s="33"/>
      <c r="DHU35" s="33"/>
      <c r="DHV35" s="33"/>
    </row>
    <row r="36" spans="1:2934" s="3" customFormat="1" ht="24" customHeight="1" x14ac:dyDescent="0.4">
      <c r="A36" s="108"/>
      <c r="B36" s="109"/>
      <c r="C36" s="50">
        <f>SUM(C6:C35)</f>
        <v>11080</v>
      </c>
      <c r="D36" s="44">
        <f t="shared" ref="D36:AI36" si="3">SUM(D6:D35)</f>
        <v>6</v>
      </c>
      <c r="E36" s="44">
        <f t="shared" si="3"/>
        <v>6</v>
      </c>
      <c r="F36" s="44">
        <f t="shared" si="3"/>
        <v>8</v>
      </c>
      <c r="G36" s="44">
        <f t="shared" si="3"/>
        <v>8</v>
      </c>
      <c r="H36" s="44">
        <f t="shared" si="3"/>
        <v>8</v>
      </c>
      <c r="I36" s="44">
        <f t="shared" si="3"/>
        <v>7.5</v>
      </c>
      <c r="J36" s="44">
        <f t="shared" si="3"/>
        <v>5.5</v>
      </c>
      <c r="K36" s="44">
        <f t="shared" si="3"/>
        <v>0</v>
      </c>
      <c r="L36" s="44">
        <f t="shared" si="3"/>
        <v>6.5</v>
      </c>
      <c r="M36" s="44">
        <f t="shared" si="3"/>
        <v>8</v>
      </c>
      <c r="N36" s="44">
        <f t="shared" si="3"/>
        <v>8</v>
      </c>
      <c r="O36" s="44">
        <f t="shared" si="3"/>
        <v>11</v>
      </c>
      <c r="P36" s="44">
        <f t="shared" si="3"/>
        <v>11</v>
      </c>
      <c r="Q36" s="44">
        <f t="shared" si="3"/>
        <v>11</v>
      </c>
      <c r="R36" s="44">
        <f t="shared" si="3"/>
        <v>11</v>
      </c>
      <c r="S36" s="44">
        <f t="shared" si="3"/>
        <v>11</v>
      </c>
      <c r="T36" s="44">
        <f t="shared" si="3"/>
        <v>8.5</v>
      </c>
      <c r="U36" s="44">
        <f t="shared" si="3"/>
        <v>8</v>
      </c>
      <c r="V36" s="44">
        <f t="shared" si="3"/>
        <v>6</v>
      </c>
      <c r="W36" s="44">
        <f t="shared" si="3"/>
        <v>7</v>
      </c>
      <c r="X36" s="44">
        <f t="shared" si="3"/>
        <v>7</v>
      </c>
      <c r="Y36" s="44">
        <f t="shared" si="3"/>
        <v>8</v>
      </c>
      <c r="Z36" s="44">
        <f t="shared" si="3"/>
        <v>0</v>
      </c>
      <c r="AA36" s="44">
        <f t="shared" si="3"/>
        <v>0</v>
      </c>
      <c r="AB36" s="44">
        <f t="shared" si="3"/>
        <v>0</v>
      </c>
      <c r="AC36" s="44">
        <f t="shared" si="3"/>
        <v>0</v>
      </c>
      <c r="AD36" s="44">
        <f t="shared" si="3"/>
        <v>0</v>
      </c>
      <c r="AE36" s="44">
        <f t="shared" si="3"/>
        <v>0</v>
      </c>
      <c r="AF36" s="44">
        <f t="shared" si="3"/>
        <v>0</v>
      </c>
      <c r="AG36" s="44">
        <f t="shared" si="3"/>
        <v>0</v>
      </c>
      <c r="AH36" s="44">
        <f t="shared" si="3"/>
        <v>0</v>
      </c>
      <c r="AI36" s="44">
        <f t="shared" si="3"/>
        <v>171</v>
      </c>
      <c r="AJ36" s="45"/>
      <c r="AK36" s="47">
        <f>SUM(AK6:AK35)</f>
        <v>10383</v>
      </c>
      <c r="AL36" s="103"/>
      <c r="AM36" s="23">
        <f>SUM(AM6:AM35)</f>
        <v>10383.000000000002</v>
      </c>
      <c r="AN36" s="23">
        <f>SUM(AN6:AN35)</f>
        <v>696.99999999999977</v>
      </c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  <c r="IB36" s="27"/>
      <c r="IC36" s="27"/>
      <c r="ID36" s="27"/>
      <c r="IE36" s="27"/>
      <c r="IF36" s="27"/>
      <c r="IG36" s="27"/>
      <c r="IH36" s="27"/>
      <c r="II36" s="27"/>
      <c r="IJ36" s="27"/>
      <c r="IK36" s="27"/>
      <c r="IL36" s="27"/>
      <c r="IM36" s="27"/>
      <c r="IN36" s="27"/>
      <c r="IO36" s="27"/>
      <c r="IP36" s="27"/>
      <c r="IQ36" s="27"/>
      <c r="IR36" s="27"/>
      <c r="IS36" s="27"/>
      <c r="IT36" s="27"/>
      <c r="IU36" s="27"/>
      <c r="IV36" s="27"/>
      <c r="IW36" s="27"/>
      <c r="IX36" s="27"/>
      <c r="IY36" s="27"/>
      <c r="IZ36" s="27"/>
      <c r="JA36" s="27"/>
      <c r="JB36" s="27"/>
      <c r="JC36" s="27"/>
      <c r="JD36" s="27"/>
      <c r="JE36" s="27"/>
      <c r="JF36" s="27"/>
      <c r="JG36" s="27"/>
      <c r="JH36" s="27"/>
      <c r="JI36" s="27"/>
      <c r="JJ36" s="27"/>
      <c r="JK36" s="27"/>
      <c r="JL36" s="27"/>
      <c r="JM36" s="27"/>
      <c r="JN36" s="27"/>
      <c r="JO36" s="27"/>
      <c r="JP36" s="27"/>
      <c r="JQ36" s="27"/>
      <c r="JR36" s="27"/>
      <c r="JS36" s="27"/>
      <c r="JT36" s="27"/>
      <c r="JU36" s="27"/>
      <c r="JV36" s="27"/>
      <c r="JW36" s="27"/>
      <c r="JX36" s="27"/>
      <c r="JY36" s="27"/>
      <c r="JZ36" s="27"/>
      <c r="KA36" s="27"/>
      <c r="KB36" s="27"/>
      <c r="KC36" s="27"/>
      <c r="KD36" s="27"/>
      <c r="KE36" s="27"/>
      <c r="KF36" s="27"/>
      <c r="KG36" s="27"/>
      <c r="KH36" s="27"/>
      <c r="KI36" s="27"/>
      <c r="KJ36" s="27"/>
      <c r="KK36" s="27"/>
      <c r="KL36" s="27"/>
      <c r="KM36" s="27"/>
      <c r="KN36" s="27"/>
      <c r="KO36" s="27"/>
      <c r="KP36" s="27"/>
      <c r="KQ36" s="27"/>
      <c r="KR36" s="27"/>
      <c r="KS36" s="27"/>
      <c r="KT36" s="27"/>
      <c r="KU36" s="27"/>
      <c r="KV36" s="27"/>
      <c r="KW36" s="27"/>
      <c r="KX36" s="27"/>
      <c r="KY36" s="27"/>
      <c r="KZ36" s="27"/>
      <c r="LA36" s="27"/>
      <c r="LB36" s="27"/>
      <c r="LC36" s="27"/>
      <c r="LD36" s="27"/>
      <c r="LE36" s="27"/>
      <c r="LF36" s="27"/>
      <c r="LG36" s="27"/>
      <c r="LH36" s="27"/>
      <c r="LI36" s="27"/>
      <c r="LJ36" s="27"/>
      <c r="LK36" s="27"/>
      <c r="LL36" s="27"/>
      <c r="LM36" s="27"/>
      <c r="LN36" s="27"/>
      <c r="LO36" s="27"/>
      <c r="LP36" s="27"/>
      <c r="LQ36" s="27"/>
      <c r="LR36" s="27"/>
      <c r="LS36" s="27"/>
      <c r="LT36" s="27"/>
      <c r="LU36" s="27"/>
      <c r="LV36" s="27"/>
      <c r="LW36" s="27"/>
      <c r="LX36" s="27"/>
      <c r="LY36" s="27"/>
      <c r="LZ36" s="27"/>
      <c r="MA36" s="27"/>
      <c r="MB36" s="27"/>
      <c r="MC36" s="27"/>
      <c r="MD36" s="27"/>
      <c r="ME36" s="27"/>
      <c r="MF36" s="27"/>
      <c r="MG36" s="27"/>
      <c r="MH36" s="27"/>
      <c r="MI36" s="27"/>
      <c r="MJ36" s="27"/>
      <c r="MK36" s="27"/>
      <c r="ML36" s="27"/>
      <c r="MM36" s="27"/>
      <c r="MN36" s="27"/>
      <c r="MO36" s="27"/>
      <c r="MP36" s="27"/>
      <c r="MQ36" s="27"/>
      <c r="MR36" s="27"/>
      <c r="MS36" s="27"/>
      <c r="MT36" s="27"/>
      <c r="MU36" s="27"/>
      <c r="MV36" s="27"/>
      <c r="MW36" s="27"/>
      <c r="MX36" s="27"/>
      <c r="MY36" s="27"/>
      <c r="MZ36" s="27"/>
      <c r="NA36" s="27"/>
      <c r="NB36" s="27"/>
      <c r="NC36" s="27"/>
      <c r="ND36" s="27"/>
      <c r="NE36" s="27"/>
      <c r="NF36" s="27"/>
      <c r="NG36" s="27"/>
      <c r="NH36" s="27"/>
      <c r="NI36" s="27"/>
      <c r="NJ36" s="27"/>
      <c r="NK36" s="27"/>
      <c r="NL36" s="27"/>
      <c r="NM36" s="27"/>
      <c r="NN36" s="27"/>
      <c r="NO36" s="27"/>
      <c r="NP36" s="27"/>
      <c r="NQ36" s="27"/>
      <c r="NR36" s="27"/>
      <c r="NS36" s="27"/>
      <c r="NT36" s="27"/>
      <c r="NU36" s="27"/>
      <c r="NV36" s="27"/>
      <c r="NW36" s="27"/>
      <c r="NX36" s="27"/>
      <c r="NY36" s="27"/>
      <c r="NZ36" s="27"/>
      <c r="OA36" s="27"/>
      <c r="OB36" s="27"/>
      <c r="OC36" s="27"/>
      <c r="OD36" s="27"/>
      <c r="OE36" s="27"/>
      <c r="OF36" s="27"/>
      <c r="OG36" s="27"/>
      <c r="OH36" s="27"/>
      <c r="OI36" s="27"/>
      <c r="OJ36" s="27"/>
      <c r="OK36" s="27"/>
      <c r="OL36" s="27"/>
      <c r="OM36" s="27"/>
      <c r="ON36" s="27"/>
      <c r="OO36" s="27"/>
      <c r="OP36" s="27"/>
      <c r="OQ36" s="27"/>
      <c r="OR36" s="27"/>
      <c r="OS36" s="27"/>
      <c r="OT36" s="27"/>
      <c r="OU36" s="27"/>
      <c r="OV36" s="27"/>
      <c r="OW36" s="27"/>
      <c r="OX36" s="27"/>
      <c r="OY36" s="27"/>
      <c r="OZ36" s="27"/>
      <c r="PA36" s="27"/>
      <c r="PB36" s="27"/>
      <c r="PC36" s="27"/>
      <c r="PD36" s="27"/>
      <c r="PE36" s="27"/>
      <c r="PF36" s="27"/>
      <c r="PG36" s="27"/>
      <c r="PH36" s="27"/>
      <c r="PI36" s="27"/>
      <c r="PJ36" s="27"/>
      <c r="PK36" s="27"/>
      <c r="PL36" s="27"/>
      <c r="PM36" s="27"/>
      <c r="PN36" s="27"/>
      <c r="PO36" s="27"/>
      <c r="PP36" s="27"/>
      <c r="PQ36" s="27"/>
      <c r="PR36" s="27"/>
      <c r="PS36" s="27"/>
      <c r="PT36" s="27"/>
      <c r="PU36" s="27"/>
      <c r="PV36" s="27"/>
      <c r="PW36" s="27"/>
      <c r="PX36" s="27"/>
      <c r="PY36" s="27"/>
      <c r="PZ36" s="27"/>
      <c r="QA36" s="27"/>
      <c r="QB36" s="27"/>
      <c r="QC36" s="27"/>
      <c r="QD36" s="27"/>
      <c r="QE36" s="27"/>
      <c r="QF36" s="27"/>
      <c r="QG36" s="27"/>
      <c r="QH36" s="27"/>
      <c r="QI36" s="27"/>
      <c r="QJ36" s="27"/>
      <c r="QK36" s="27"/>
      <c r="QL36" s="27"/>
      <c r="QM36" s="27"/>
      <c r="QN36" s="27"/>
      <c r="QO36" s="27"/>
      <c r="QP36" s="27"/>
      <c r="QQ36" s="27"/>
      <c r="QR36" s="27"/>
      <c r="QS36" s="27"/>
      <c r="QT36" s="27"/>
      <c r="QU36" s="27"/>
      <c r="QV36" s="27"/>
      <c r="QW36" s="27"/>
      <c r="QX36" s="27"/>
      <c r="QY36" s="27"/>
      <c r="QZ36" s="27"/>
      <c r="RA36" s="27"/>
      <c r="RB36" s="27"/>
      <c r="RC36" s="27"/>
      <c r="RD36" s="27"/>
      <c r="RE36" s="27"/>
      <c r="RF36" s="27"/>
      <c r="RG36" s="27"/>
      <c r="RH36" s="27"/>
      <c r="RI36" s="27"/>
      <c r="RJ36" s="27"/>
      <c r="RK36" s="27"/>
      <c r="RL36" s="27"/>
      <c r="RM36" s="27"/>
      <c r="RN36" s="27"/>
      <c r="RO36" s="27"/>
      <c r="RP36" s="27"/>
      <c r="RQ36" s="27"/>
      <c r="RR36" s="27"/>
      <c r="RS36" s="27"/>
      <c r="RT36" s="27"/>
      <c r="RU36" s="27"/>
      <c r="RV36" s="27"/>
      <c r="RW36" s="27"/>
      <c r="RX36" s="27"/>
      <c r="RY36" s="27"/>
      <c r="RZ36" s="27"/>
      <c r="SA36" s="27"/>
      <c r="SB36" s="27"/>
      <c r="SC36" s="27"/>
      <c r="SD36" s="27"/>
      <c r="SE36" s="27"/>
      <c r="SF36" s="27"/>
      <c r="SG36" s="27"/>
      <c r="SH36" s="27"/>
      <c r="SI36" s="27"/>
      <c r="SJ36" s="27"/>
      <c r="SK36" s="27"/>
      <c r="SL36" s="27"/>
      <c r="SM36" s="27"/>
      <c r="SN36" s="27"/>
      <c r="SO36" s="27"/>
      <c r="SP36" s="27"/>
      <c r="SQ36" s="27"/>
      <c r="SR36" s="27"/>
      <c r="SS36" s="27"/>
      <c r="ST36" s="27"/>
      <c r="SU36" s="27"/>
      <c r="SV36" s="27"/>
      <c r="SW36" s="27"/>
      <c r="SX36" s="27"/>
      <c r="SY36" s="27"/>
      <c r="SZ36" s="27"/>
      <c r="TA36" s="27"/>
      <c r="TB36" s="27"/>
      <c r="TC36" s="27"/>
      <c r="TD36" s="27"/>
      <c r="TE36" s="27"/>
      <c r="TF36" s="27"/>
      <c r="TG36" s="27"/>
      <c r="TH36" s="27"/>
      <c r="TI36" s="27"/>
      <c r="TJ36" s="27"/>
      <c r="TK36" s="27"/>
      <c r="TL36" s="27"/>
      <c r="TM36" s="27"/>
      <c r="TN36" s="27"/>
      <c r="TO36" s="27"/>
      <c r="TP36" s="27"/>
      <c r="TQ36" s="27"/>
      <c r="TR36" s="27"/>
      <c r="TS36" s="27"/>
      <c r="TT36" s="27"/>
      <c r="TU36" s="27"/>
      <c r="TV36" s="27"/>
      <c r="TW36" s="27"/>
      <c r="TX36" s="27"/>
      <c r="TY36" s="27"/>
      <c r="TZ36" s="27"/>
      <c r="UA36" s="27"/>
      <c r="UB36" s="27"/>
      <c r="UC36" s="27"/>
      <c r="UD36" s="27"/>
      <c r="UE36" s="27"/>
      <c r="UF36" s="27"/>
      <c r="UG36" s="27"/>
      <c r="UH36" s="27"/>
      <c r="UI36" s="27"/>
      <c r="UJ36" s="27"/>
      <c r="UK36" s="27"/>
      <c r="UL36" s="27"/>
      <c r="UM36" s="27"/>
      <c r="UN36" s="27"/>
      <c r="UO36" s="27"/>
      <c r="UP36" s="27"/>
      <c r="UQ36" s="27"/>
      <c r="UR36" s="27"/>
      <c r="US36" s="27"/>
      <c r="UT36" s="27"/>
      <c r="UU36" s="27"/>
      <c r="UV36" s="27"/>
      <c r="UW36" s="27"/>
      <c r="UX36" s="27"/>
      <c r="UY36" s="27"/>
      <c r="UZ36" s="27"/>
      <c r="VA36" s="27"/>
      <c r="VB36" s="27"/>
      <c r="VC36" s="27"/>
      <c r="VD36" s="27"/>
      <c r="VE36" s="27"/>
      <c r="VF36" s="27"/>
      <c r="VG36" s="27"/>
      <c r="VH36" s="27"/>
      <c r="VI36" s="27"/>
      <c r="VJ36" s="27"/>
      <c r="VK36" s="27"/>
      <c r="VL36" s="27"/>
      <c r="VM36" s="27"/>
      <c r="VN36" s="27"/>
      <c r="VO36" s="27"/>
      <c r="VP36" s="27"/>
      <c r="VQ36" s="27"/>
      <c r="VR36" s="27"/>
      <c r="VS36" s="27"/>
      <c r="VT36" s="27"/>
      <c r="VU36" s="27"/>
      <c r="VV36" s="27"/>
      <c r="VW36" s="27"/>
      <c r="VX36" s="27"/>
      <c r="VY36" s="27"/>
      <c r="VZ36" s="27"/>
      <c r="WA36" s="27"/>
      <c r="WB36" s="27"/>
      <c r="WC36" s="27"/>
      <c r="WD36" s="27"/>
      <c r="WE36" s="27"/>
      <c r="WF36" s="27"/>
      <c r="WG36" s="27"/>
      <c r="WH36" s="27"/>
      <c r="WI36" s="27"/>
      <c r="WJ36" s="27"/>
      <c r="WK36" s="27"/>
      <c r="WL36" s="27"/>
      <c r="WM36" s="27"/>
      <c r="WN36" s="27"/>
      <c r="WO36" s="27"/>
      <c r="WP36" s="27"/>
      <c r="WQ36" s="27"/>
      <c r="WR36" s="27"/>
      <c r="WS36" s="27"/>
      <c r="WT36" s="27"/>
      <c r="WU36" s="27"/>
      <c r="WV36" s="27"/>
      <c r="WW36" s="27"/>
      <c r="WX36" s="27"/>
      <c r="WY36" s="27"/>
      <c r="WZ36" s="27"/>
      <c r="XA36" s="27"/>
      <c r="XB36" s="27"/>
      <c r="XC36" s="27"/>
      <c r="XD36" s="27"/>
      <c r="XE36" s="27"/>
      <c r="XF36" s="27"/>
      <c r="XG36" s="27"/>
      <c r="XH36" s="27"/>
      <c r="XI36" s="27"/>
      <c r="XJ36" s="27"/>
      <c r="XK36" s="27"/>
      <c r="XL36" s="27"/>
      <c r="XM36" s="27"/>
      <c r="XN36" s="27"/>
      <c r="XO36" s="27"/>
      <c r="XP36" s="27"/>
      <c r="XQ36" s="27"/>
      <c r="XR36" s="27"/>
      <c r="XS36" s="27"/>
      <c r="XT36" s="27"/>
      <c r="XU36" s="27"/>
      <c r="XV36" s="27"/>
      <c r="XW36" s="27"/>
      <c r="XX36" s="27"/>
      <c r="XY36" s="27"/>
      <c r="XZ36" s="27"/>
      <c r="YA36" s="27"/>
      <c r="YB36" s="27"/>
      <c r="YC36" s="27"/>
      <c r="YD36" s="27"/>
      <c r="YE36" s="27"/>
      <c r="YF36" s="27"/>
      <c r="YG36" s="27"/>
      <c r="YH36" s="27"/>
      <c r="YI36" s="27"/>
      <c r="YJ36" s="27"/>
      <c r="YK36" s="27"/>
      <c r="YL36" s="27"/>
      <c r="YM36" s="27"/>
      <c r="YN36" s="27"/>
      <c r="YO36" s="27"/>
      <c r="YP36" s="27"/>
      <c r="YQ36" s="27"/>
      <c r="YR36" s="27"/>
      <c r="YS36" s="27"/>
      <c r="YT36" s="27"/>
      <c r="YU36" s="27"/>
      <c r="YV36" s="27"/>
      <c r="YW36" s="27"/>
      <c r="YX36" s="27"/>
      <c r="YY36" s="27"/>
      <c r="YZ36" s="27"/>
      <c r="ZA36" s="27"/>
      <c r="ZB36" s="27"/>
      <c r="ZC36" s="27"/>
      <c r="ZD36" s="27"/>
      <c r="ZE36" s="27"/>
      <c r="ZF36" s="27"/>
      <c r="ZG36" s="27"/>
      <c r="ZH36" s="27"/>
      <c r="ZI36" s="27"/>
      <c r="ZJ36" s="27"/>
      <c r="ZK36" s="27"/>
      <c r="ZL36" s="27"/>
      <c r="ZM36" s="27"/>
      <c r="ZN36" s="27"/>
      <c r="ZO36" s="27"/>
      <c r="ZP36" s="27"/>
      <c r="ZQ36" s="27"/>
      <c r="ZR36" s="27"/>
      <c r="ZS36" s="27"/>
      <c r="ZT36" s="27"/>
      <c r="ZU36" s="27"/>
      <c r="ZV36" s="27"/>
      <c r="ZW36" s="27"/>
      <c r="ZX36" s="27"/>
      <c r="ZY36" s="27"/>
      <c r="ZZ36" s="27"/>
      <c r="AAA36" s="27"/>
      <c r="AAB36" s="27"/>
      <c r="AAC36" s="27"/>
      <c r="AAD36" s="27"/>
      <c r="AAE36" s="27"/>
      <c r="AAF36" s="27"/>
      <c r="AAG36" s="27"/>
      <c r="AAH36" s="27"/>
      <c r="AAI36" s="27"/>
      <c r="AAJ36" s="27"/>
      <c r="AAK36" s="27"/>
      <c r="AAL36" s="27"/>
      <c r="AAM36" s="27"/>
      <c r="AAN36" s="27"/>
      <c r="AAO36" s="27"/>
      <c r="AAP36" s="27"/>
      <c r="AAQ36" s="27"/>
      <c r="AAR36" s="27"/>
      <c r="AAS36" s="27"/>
      <c r="AAT36" s="27"/>
      <c r="AAU36" s="27"/>
      <c r="AAV36" s="27"/>
      <c r="AAW36" s="27"/>
      <c r="AAX36" s="27"/>
      <c r="AAY36" s="27"/>
      <c r="AAZ36" s="27"/>
      <c r="ABA36" s="27"/>
      <c r="ABB36" s="27"/>
      <c r="ABC36" s="27"/>
      <c r="ABD36" s="27"/>
      <c r="ABE36" s="27"/>
      <c r="ABF36" s="27"/>
      <c r="ABG36" s="27"/>
      <c r="ABH36" s="27"/>
      <c r="ABI36" s="27"/>
      <c r="ABJ36" s="27"/>
      <c r="ABK36" s="27"/>
      <c r="ABL36" s="27"/>
      <c r="ABM36" s="27"/>
      <c r="ABN36" s="27"/>
      <c r="ABO36" s="27"/>
      <c r="ABP36" s="27"/>
      <c r="ABQ36" s="27"/>
      <c r="ABR36" s="27"/>
      <c r="ABS36" s="27"/>
      <c r="ABT36" s="27"/>
      <c r="ABU36" s="27"/>
      <c r="ABV36" s="27"/>
      <c r="ABW36" s="27"/>
      <c r="ABX36" s="27"/>
      <c r="ABY36" s="27"/>
      <c r="ABZ36" s="27"/>
      <c r="ACA36" s="27"/>
      <c r="ACB36" s="27"/>
      <c r="ACC36" s="27"/>
      <c r="ACD36" s="27"/>
      <c r="ACE36" s="27"/>
      <c r="ACF36" s="27"/>
      <c r="ACG36" s="27"/>
      <c r="ACH36" s="27"/>
      <c r="ACI36" s="27"/>
      <c r="ACJ36" s="27"/>
      <c r="ACK36" s="27"/>
      <c r="ACL36" s="27"/>
      <c r="ACM36" s="27"/>
      <c r="ACN36" s="27"/>
      <c r="ACO36" s="27"/>
      <c r="ACP36" s="27"/>
      <c r="ACQ36" s="27"/>
      <c r="ACR36" s="27"/>
      <c r="ACS36" s="27"/>
      <c r="ACT36" s="27"/>
      <c r="ACU36" s="27"/>
      <c r="ACV36" s="27"/>
      <c r="ACW36" s="27"/>
      <c r="ACX36" s="27"/>
      <c r="ACY36" s="27"/>
      <c r="ACZ36" s="27"/>
      <c r="ADA36" s="27"/>
      <c r="ADB36" s="27"/>
      <c r="ADC36" s="27"/>
      <c r="ADD36" s="27"/>
      <c r="ADE36" s="27"/>
      <c r="ADF36" s="27"/>
      <c r="ADG36" s="27"/>
      <c r="ADH36" s="27"/>
      <c r="ADI36" s="27"/>
      <c r="ADJ36" s="27"/>
      <c r="ADK36" s="27"/>
      <c r="ADL36" s="27"/>
      <c r="ADM36" s="27"/>
      <c r="ADN36" s="27"/>
      <c r="ADO36" s="27"/>
      <c r="ADP36" s="27"/>
      <c r="ADQ36" s="27"/>
      <c r="ADR36" s="27"/>
      <c r="ADS36" s="27"/>
      <c r="ADT36" s="27"/>
      <c r="ADU36" s="27"/>
      <c r="ADV36" s="27"/>
      <c r="ADW36" s="27"/>
      <c r="ADX36" s="27"/>
      <c r="ADY36" s="27"/>
      <c r="ADZ36" s="27"/>
      <c r="AEA36" s="27"/>
      <c r="AEB36" s="27"/>
      <c r="AEC36" s="27"/>
      <c r="AED36" s="27"/>
      <c r="AEE36" s="27"/>
      <c r="AEF36" s="27"/>
      <c r="AEG36" s="27"/>
      <c r="AEH36" s="27"/>
      <c r="AEI36" s="27"/>
      <c r="AEJ36" s="27"/>
      <c r="AEK36" s="27"/>
      <c r="AEL36" s="27"/>
      <c r="AEM36" s="27"/>
      <c r="AEN36" s="27"/>
      <c r="AEO36" s="27"/>
      <c r="AEP36" s="27"/>
      <c r="AEQ36" s="27"/>
      <c r="AER36" s="27"/>
      <c r="AES36" s="27"/>
      <c r="AET36" s="27"/>
      <c r="AEU36" s="27"/>
      <c r="AEV36" s="27"/>
      <c r="AEW36" s="27"/>
      <c r="AEX36" s="27"/>
      <c r="AEY36" s="27"/>
      <c r="AEZ36" s="27"/>
      <c r="AFA36" s="27"/>
      <c r="AFB36" s="27"/>
      <c r="AFC36" s="27"/>
      <c r="AFD36" s="27"/>
      <c r="AFE36" s="27"/>
      <c r="AFF36" s="27"/>
      <c r="AFG36" s="27"/>
      <c r="AFH36" s="27"/>
      <c r="AFI36" s="27"/>
      <c r="AFJ36" s="27"/>
      <c r="AFK36" s="27"/>
      <c r="AFL36" s="27"/>
      <c r="AFM36" s="27"/>
      <c r="AFN36" s="27"/>
      <c r="AFO36" s="27"/>
      <c r="AFP36" s="27"/>
      <c r="AFQ36" s="27"/>
      <c r="AFR36" s="27"/>
      <c r="AFS36" s="27"/>
      <c r="AFT36" s="27"/>
      <c r="AFU36" s="27"/>
      <c r="AFV36" s="27"/>
      <c r="AFW36" s="27"/>
      <c r="AFX36" s="27"/>
      <c r="AFY36" s="27"/>
      <c r="AFZ36" s="27"/>
      <c r="AGA36" s="27"/>
      <c r="AGB36" s="27"/>
      <c r="AGC36" s="27"/>
      <c r="AGD36" s="27"/>
      <c r="AGE36" s="27"/>
      <c r="AGF36" s="27"/>
      <c r="AGG36" s="27"/>
      <c r="AGH36" s="27"/>
      <c r="AGI36" s="27"/>
      <c r="AGJ36" s="27"/>
      <c r="AGK36" s="27"/>
      <c r="AGL36" s="27"/>
      <c r="AGM36" s="27"/>
      <c r="AGN36" s="27"/>
      <c r="AGO36" s="27"/>
      <c r="AGP36" s="27"/>
      <c r="AGQ36" s="27"/>
      <c r="AGR36" s="27"/>
      <c r="AGS36" s="27"/>
      <c r="AGT36" s="27"/>
      <c r="AGU36" s="27"/>
      <c r="AGV36" s="27"/>
      <c r="AGW36" s="27"/>
      <c r="AGX36" s="27"/>
      <c r="AGY36" s="27"/>
      <c r="AGZ36" s="27"/>
      <c r="AHA36" s="27"/>
      <c r="AHB36" s="27"/>
      <c r="AHC36" s="27"/>
      <c r="AHD36" s="27"/>
      <c r="AHE36" s="27"/>
      <c r="AHF36" s="27"/>
      <c r="AHG36" s="27"/>
      <c r="AHH36" s="27"/>
      <c r="AHI36" s="27"/>
      <c r="AHJ36" s="27"/>
      <c r="AHK36" s="27"/>
      <c r="AHL36" s="27"/>
      <c r="AHM36" s="27"/>
      <c r="AHN36" s="27"/>
      <c r="AHO36" s="27"/>
      <c r="AHP36" s="27"/>
      <c r="AHQ36" s="27"/>
      <c r="AHR36" s="27"/>
      <c r="AHS36" s="27"/>
      <c r="AHT36" s="27"/>
      <c r="AHU36" s="27"/>
      <c r="AHV36" s="27"/>
      <c r="AHW36" s="27"/>
      <c r="AHX36" s="27"/>
      <c r="AHY36" s="27"/>
      <c r="AHZ36" s="27"/>
      <c r="AIA36" s="27"/>
      <c r="AIB36" s="27"/>
      <c r="AIC36" s="27"/>
      <c r="AID36" s="27"/>
      <c r="AIE36" s="27"/>
      <c r="AIF36" s="27"/>
      <c r="AIG36" s="27"/>
      <c r="AIH36" s="27"/>
      <c r="AII36" s="27"/>
      <c r="AIJ36" s="27"/>
      <c r="AIK36" s="27"/>
      <c r="AIL36" s="27"/>
      <c r="AIM36" s="27"/>
      <c r="AIN36" s="27"/>
      <c r="AIO36" s="27"/>
      <c r="AIP36" s="27"/>
      <c r="AIQ36" s="27"/>
      <c r="AIR36" s="27"/>
      <c r="AIS36" s="27"/>
      <c r="AIT36" s="27"/>
      <c r="AIU36" s="27"/>
      <c r="AIV36" s="27"/>
      <c r="AIW36" s="27"/>
      <c r="AIX36" s="27"/>
      <c r="AIY36" s="27"/>
      <c r="AIZ36" s="27"/>
      <c r="AJA36" s="27"/>
      <c r="AJB36" s="27"/>
      <c r="AJC36" s="27"/>
      <c r="AJD36" s="27"/>
      <c r="AJE36" s="27"/>
      <c r="AJF36" s="27"/>
      <c r="AJG36" s="27"/>
      <c r="AJH36" s="27"/>
      <c r="AJI36" s="27"/>
      <c r="AJJ36" s="27"/>
      <c r="AJK36" s="27"/>
      <c r="AJL36" s="27"/>
      <c r="AJM36" s="27"/>
      <c r="AJN36" s="27"/>
      <c r="AJO36" s="27"/>
      <c r="AJP36" s="27"/>
      <c r="AJQ36" s="27"/>
      <c r="AJR36" s="27"/>
      <c r="AJS36" s="27"/>
      <c r="AJT36" s="27"/>
      <c r="AJU36" s="27"/>
      <c r="AJV36" s="27"/>
      <c r="AJW36" s="27"/>
      <c r="AJX36" s="27"/>
      <c r="AJY36" s="27"/>
      <c r="AJZ36" s="27"/>
      <c r="AKA36" s="27"/>
      <c r="AKB36" s="27"/>
      <c r="AKC36" s="27"/>
      <c r="AKD36" s="27"/>
      <c r="AKE36" s="27"/>
      <c r="AKF36" s="27"/>
      <c r="AKG36" s="27"/>
      <c r="AKH36" s="27"/>
      <c r="AKI36" s="27"/>
      <c r="AKJ36" s="27"/>
      <c r="AKK36" s="27"/>
      <c r="AKL36" s="27"/>
      <c r="AKM36" s="27"/>
      <c r="AKN36" s="27"/>
      <c r="AKO36" s="27"/>
      <c r="AKP36" s="27"/>
      <c r="AKQ36" s="27"/>
      <c r="AKR36" s="27"/>
      <c r="AKS36" s="27"/>
      <c r="AKT36" s="27"/>
      <c r="AKU36" s="27"/>
      <c r="AKV36" s="27"/>
      <c r="AKW36" s="27"/>
      <c r="AKX36" s="27"/>
      <c r="AKY36" s="27"/>
      <c r="AKZ36" s="27"/>
      <c r="ALA36" s="27"/>
      <c r="ALB36" s="27"/>
      <c r="ALC36" s="27"/>
      <c r="ALD36" s="27"/>
      <c r="ALE36" s="27"/>
      <c r="ALF36" s="27"/>
      <c r="ALG36" s="27"/>
      <c r="ALH36" s="27"/>
      <c r="ALI36" s="27"/>
      <c r="ALJ36" s="27"/>
      <c r="ALK36" s="27"/>
      <c r="ALL36" s="27"/>
      <c r="ALM36" s="27"/>
      <c r="ALN36" s="27"/>
      <c r="ALO36" s="27"/>
      <c r="ALP36" s="27"/>
      <c r="ALQ36" s="27"/>
      <c r="ALR36" s="27"/>
      <c r="ALS36" s="27"/>
      <c r="ALT36" s="27"/>
      <c r="ALU36" s="27"/>
      <c r="ALV36" s="27"/>
      <c r="ALW36" s="27"/>
      <c r="ALX36" s="27"/>
      <c r="ALY36" s="27"/>
      <c r="ALZ36" s="27"/>
      <c r="AMA36" s="27"/>
      <c r="AMB36" s="27"/>
      <c r="AMC36" s="27"/>
      <c r="AMD36" s="27"/>
      <c r="AME36" s="27"/>
      <c r="AMF36" s="27"/>
      <c r="AMG36" s="27"/>
      <c r="AMH36" s="27"/>
      <c r="AMI36" s="27"/>
      <c r="AMJ36" s="27"/>
      <c r="AMK36" s="27"/>
      <c r="AML36" s="27"/>
      <c r="AMM36" s="27"/>
      <c r="AMN36" s="27"/>
      <c r="AMO36" s="27"/>
      <c r="AMP36" s="27"/>
      <c r="AMQ36" s="27"/>
      <c r="AMR36" s="27"/>
      <c r="AMS36" s="27"/>
      <c r="AMT36" s="27"/>
      <c r="AMU36" s="27"/>
      <c r="AMV36" s="27"/>
      <c r="AMW36" s="27"/>
      <c r="AMX36" s="27"/>
      <c r="AMY36" s="27"/>
      <c r="AMZ36" s="27"/>
      <c r="ANA36" s="27"/>
      <c r="ANB36" s="27"/>
      <c r="ANC36" s="27"/>
      <c r="AND36" s="27"/>
      <c r="ANE36" s="27"/>
      <c r="ANF36" s="27"/>
      <c r="ANG36" s="27"/>
      <c r="ANH36" s="27"/>
      <c r="ANI36" s="27"/>
      <c r="ANJ36" s="27"/>
      <c r="ANK36" s="27"/>
      <c r="ANL36" s="27"/>
      <c r="ANM36" s="27"/>
      <c r="ANN36" s="27"/>
      <c r="ANO36" s="27"/>
      <c r="ANP36" s="27"/>
      <c r="ANQ36" s="27"/>
      <c r="ANR36" s="27"/>
      <c r="ANS36" s="27"/>
      <c r="ANT36" s="27"/>
      <c r="ANU36" s="27"/>
      <c r="ANV36" s="27"/>
      <c r="ANW36" s="27"/>
      <c r="ANX36" s="27"/>
      <c r="ANY36" s="27"/>
      <c r="ANZ36" s="27"/>
      <c r="AOA36" s="27"/>
      <c r="AOB36" s="27"/>
      <c r="AOC36" s="27"/>
      <c r="AOD36" s="27"/>
      <c r="AOE36" s="27"/>
      <c r="AOF36" s="27"/>
      <c r="AOG36" s="27"/>
      <c r="AOH36" s="27"/>
      <c r="AOI36" s="27"/>
      <c r="AOJ36" s="27"/>
      <c r="AOK36" s="27"/>
      <c r="AOL36" s="27"/>
      <c r="AOM36" s="27"/>
      <c r="AON36" s="27"/>
      <c r="AOO36" s="27"/>
      <c r="AOP36" s="27"/>
      <c r="AOQ36" s="27"/>
      <c r="AOR36" s="27"/>
      <c r="AOS36" s="27"/>
      <c r="AOT36" s="27"/>
      <c r="AOU36" s="27"/>
      <c r="AOV36" s="27"/>
      <c r="AOW36" s="27"/>
      <c r="AOX36" s="27"/>
      <c r="AOY36" s="27"/>
      <c r="AOZ36" s="27"/>
      <c r="APA36" s="27"/>
      <c r="APB36" s="27"/>
      <c r="APC36" s="27"/>
      <c r="APD36" s="27"/>
      <c r="APE36" s="27"/>
      <c r="APF36" s="27"/>
      <c r="APG36" s="27"/>
      <c r="APH36" s="27"/>
      <c r="API36" s="27"/>
      <c r="APJ36" s="27"/>
      <c r="APK36" s="27"/>
      <c r="APL36" s="27"/>
      <c r="APM36" s="27"/>
      <c r="APN36" s="27"/>
      <c r="APO36" s="27"/>
      <c r="APP36" s="27"/>
      <c r="APQ36" s="27"/>
      <c r="APR36" s="27"/>
      <c r="APS36" s="27"/>
      <c r="APT36" s="27"/>
      <c r="APU36" s="27"/>
      <c r="APV36" s="27"/>
      <c r="APW36" s="27"/>
      <c r="APX36" s="27"/>
      <c r="APY36" s="27"/>
      <c r="APZ36" s="27"/>
      <c r="AQA36" s="27"/>
      <c r="AQB36" s="27"/>
      <c r="AQC36" s="27"/>
      <c r="AQD36" s="27"/>
      <c r="AQE36" s="27"/>
      <c r="AQF36" s="27"/>
      <c r="AQG36" s="27"/>
      <c r="AQH36" s="27"/>
      <c r="AQI36" s="27"/>
      <c r="AQJ36" s="27"/>
      <c r="AQK36" s="27"/>
      <c r="AQL36" s="27"/>
      <c r="AQM36" s="27"/>
      <c r="AQN36" s="27"/>
      <c r="AQO36" s="27"/>
      <c r="AQP36" s="27"/>
      <c r="AQQ36" s="27"/>
      <c r="AQR36" s="27"/>
      <c r="AQS36" s="27"/>
      <c r="AQT36" s="27"/>
      <c r="AQU36" s="27"/>
      <c r="AQV36" s="27"/>
      <c r="AQW36" s="27"/>
      <c r="AQX36" s="27"/>
      <c r="AQY36" s="27"/>
      <c r="AQZ36" s="27"/>
      <c r="ARA36" s="27"/>
      <c r="ARB36" s="27"/>
      <c r="ARC36" s="27"/>
      <c r="ARD36" s="27"/>
      <c r="ARE36" s="27"/>
      <c r="ARF36" s="27"/>
      <c r="ARG36" s="27"/>
      <c r="ARH36" s="27"/>
      <c r="ARI36" s="27"/>
      <c r="ARJ36" s="27"/>
      <c r="ARK36" s="27"/>
      <c r="ARL36" s="27"/>
      <c r="ARM36" s="27"/>
      <c r="ARN36" s="27"/>
      <c r="ARO36" s="27"/>
      <c r="ARP36" s="27"/>
      <c r="ARQ36" s="27"/>
      <c r="ARR36" s="27"/>
      <c r="ARS36" s="27"/>
      <c r="ART36" s="27"/>
      <c r="ARU36" s="27"/>
      <c r="ARV36" s="27"/>
      <c r="ARW36" s="27"/>
      <c r="ARX36" s="27"/>
      <c r="ARY36" s="27"/>
      <c r="ARZ36" s="27"/>
      <c r="ASA36" s="27"/>
      <c r="ASB36" s="27"/>
      <c r="ASC36" s="27"/>
      <c r="ASD36" s="27"/>
      <c r="ASE36" s="27"/>
      <c r="ASF36" s="27"/>
      <c r="ASG36" s="27"/>
      <c r="ASH36" s="27"/>
      <c r="ASI36" s="27"/>
      <c r="ASJ36" s="27"/>
      <c r="ASK36" s="27"/>
      <c r="ASL36" s="27"/>
      <c r="ASM36" s="27"/>
      <c r="ASN36" s="27"/>
      <c r="ASO36" s="27"/>
      <c r="ASP36" s="27"/>
      <c r="ASQ36" s="27"/>
      <c r="ASR36" s="27"/>
      <c r="ASS36" s="27"/>
      <c r="AST36" s="27"/>
      <c r="ASU36" s="27"/>
      <c r="ASV36" s="27"/>
      <c r="ASW36" s="27"/>
      <c r="ASX36" s="27"/>
      <c r="ASY36" s="27"/>
      <c r="ASZ36" s="27"/>
      <c r="ATA36" s="27"/>
      <c r="ATB36" s="27"/>
      <c r="ATC36" s="27"/>
      <c r="ATD36" s="27"/>
      <c r="ATE36" s="27"/>
      <c r="ATF36" s="27"/>
      <c r="ATG36" s="27"/>
      <c r="ATH36" s="27"/>
      <c r="ATI36" s="27"/>
      <c r="ATJ36" s="27"/>
      <c r="ATK36" s="27"/>
      <c r="ATL36" s="27"/>
      <c r="ATM36" s="27"/>
      <c r="ATN36" s="27"/>
      <c r="ATO36" s="27"/>
      <c r="ATP36" s="27"/>
      <c r="ATQ36" s="27"/>
      <c r="ATR36" s="27"/>
      <c r="ATS36" s="27"/>
      <c r="ATT36" s="27"/>
      <c r="ATU36" s="27"/>
      <c r="ATV36" s="27"/>
      <c r="ATW36" s="27"/>
      <c r="ATX36" s="27"/>
      <c r="ATY36" s="27"/>
      <c r="ATZ36" s="27"/>
      <c r="AUA36" s="27"/>
      <c r="AUB36" s="27"/>
      <c r="AUC36" s="27"/>
      <c r="AUD36" s="27"/>
      <c r="AUE36" s="27"/>
      <c r="AUF36" s="27"/>
      <c r="AUG36" s="27"/>
      <c r="AUH36" s="27"/>
      <c r="AUI36" s="27"/>
      <c r="AUJ36" s="27"/>
      <c r="AUK36" s="27"/>
      <c r="AUL36" s="27"/>
      <c r="AUM36" s="27"/>
      <c r="AUN36" s="27"/>
      <c r="AUO36" s="27"/>
      <c r="AUP36" s="27"/>
      <c r="AUQ36" s="27"/>
      <c r="AUR36" s="27"/>
      <c r="AUS36" s="27"/>
      <c r="AUT36" s="27"/>
      <c r="AUU36" s="27"/>
      <c r="AUV36" s="27"/>
      <c r="AUW36" s="27"/>
      <c r="AUX36" s="27"/>
      <c r="AUY36" s="27"/>
      <c r="AUZ36" s="27"/>
      <c r="AVA36" s="27"/>
      <c r="AVB36" s="27"/>
      <c r="AVC36" s="27"/>
      <c r="AVD36" s="27"/>
      <c r="AVE36" s="27"/>
      <c r="AVF36" s="27"/>
      <c r="AVG36" s="27"/>
      <c r="AVH36" s="27"/>
      <c r="AVI36" s="27"/>
      <c r="AVJ36" s="27"/>
      <c r="AVK36" s="27"/>
      <c r="AVL36" s="27"/>
      <c r="AVM36" s="27"/>
      <c r="AVN36" s="27"/>
      <c r="AVO36" s="27"/>
      <c r="AVP36" s="27"/>
      <c r="AVQ36" s="27"/>
      <c r="AVR36" s="27"/>
      <c r="AVS36" s="27"/>
      <c r="AVT36" s="27"/>
      <c r="AVU36" s="27"/>
      <c r="AVV36" s="27"/>
      <c r="AVW36" s="27"/>
      <c r="AVX36" s="27"/>
      <c r="AVY36" s="27"/>
      <c r="AVZ36" s="27"/>
      <c r="AWA36" s="27"/>
      <c r="AWB36" s="27"/>
      <c r="AWC36" s="27"/>
      <c r="AWD36" s="27"/>
      <c r="AWE36" s="27"/>
      <c r="AWF36" s="27"/>
      <c r="AWG36" s="27"/>
      <c r="AWH36" s="27"/>
      <c r="AWI36" s="27"/>
      <c r="AWJ36" s="27"/>
      <c r="AWK36" s="27"/>
      <c r="AWL36" s="27"/>
      <c r="AWM36" s="27"/>
      <c r="AWN36" s="27"/>
      <c r="AWO36" s="27"/>
      <c r="AWP36" s="27"/>
      <c r="AWQ36" s="27"/>
      <c r="AWR36" s="27"/>
      <c r="AWS36" s="27"/>
      <c r="AWT36" s="27"/>
      <c r="AWU36" s="27"/>
      <c r="AWV36" s="27"/>
      <c r="AWW36" s="27"/>
      <c r="AWX36" s="27"/>
      <c r="AWY36" s="27"/>
      <c r="AWZ36" s="27"/>
      <c r="AXA36" s="27"/>
      <c r="AXB36" s="27"/>
      <c r="AXC36" s="27"/>
      <c r="AXD36" s="27"/>
      <c r="AXE36" s="27"/>
      <c r="AXF36" s="27"/>
      <c r="AXG36" s="27"/>
      <c r="AXH36" s="27"/>
      <c r="AXI36" s="27"/>
      <c r="AXJ36" s="27"/>
      <c r="AXK36" s="27"/>
      <c r="AXL36" s="27"/>
      <c r="AXM36" s="27"/>
      <c r="AXN36" s="27"/>
      <c r="AXO36" s="27"/>
      <c r="AXP36" s="27"/>
      <c r="AXQ36" s="27"/>
      <c r="AXR36" s="27"/>
      <c r="AXS36" s="27"/>
      <c r="AXT36" s="27"/>
      <c r="AXU36" s="27"/>
      <c r="AXV36" s="27"/>
      <c r="AXW36" s="27"/>
      <c r="AXX36" s="27"/>
      <c r="AXY36" s="27"/>
      <c r="AXZ36" s="27"/>
      <c r="AYA36" s="27"/>
      <c r="AYB36" s="27"/>
      <c r="AYC36" s="27"/>
      <c r="AYD36" s="27"/>
      <c r="AYE36" s="27"/>
      <c r="AYF36" s="27"/>
      <c r="AYG36" s="27"/>
      <c r="AYH36" s="27"/>
      <c r="AYI36" s="27"/>
      <c r="AYJ36" s="27"/>
      <c r="AYK36" s="27"/>
      <c r="AYL36" s="27"/>
      <c r="AYM36" s="27"/>
      <c r="AYN36" s="27"/>
      <c r="AYO36" s="27"/>
      <c r="AYP36" s="27"/>
      <c r="AYQ36" s="27"/>
      <c r="AYR36" s="27"/>
      <c r="AYS36" s="27"/>
      <c r="AYT36" s="27"/>
      <c r="AYU36" s="27"/>
      <c r="AYV36" s="27"/>
      <c r="AYW36" s="27"/>
      <c r="AYX36" s="27"/>
      <c r="AYY36" s="27"/>
      <c r="AYZ36" s="27"/>
      <c r="AZA36" s="27"/>
      <c r="AZB36" s="27"/>
      <c r="AZC36" s="27"/>
      <c r="AZD36" s="27"/>
      <c r="AZE36" s="27"/>
      <c r="AZF36" s="27"/>
      <c r="AZG36" s="27"/>
      <c r="AZH36" s="27"/>
      <c r="AZI36" s="27"/>
      <c r="AZJ36" s="27"/>
      <c r="AZK36" s="27"/>
      <c r="AZL36" s="27"/>
      <c r="AZM36" s="27"/>
      <c r="AZN36" s="27"/>
      <c r="AZO36" s="27"/>
      <c r="AZP36" s="27"/>
      <c r="AZQ36" s="27"/>
      <c r="AZR36" s="27"/>
      <c r="AZS36" s="27"/>
      <c r="AZT36" s="27"/>
      <c r="AZU36" s="27"/>
      <c r="AZV36" s="27"/>
      <c r="AZW36" s="27"/>
      <c r="AZX36" s="27"/>
      <c r="AZY36" s="27"/>
      <c r="AZZ36" s="27"/>
      <c r="BAA36" s="27"/>
      <c r="BAB36" s="27"/>
      <c r="BAC36" s="27"/>
      <c r="BAD36" s="27"/>
      <c r="BAE36" s="27"/>
      <c r="BAF36" s="27"/>
      <c r="BAG36" s="27"/>
      <c r="BAH36" s="27"/>
      <c r="BAI36" s="27"/>
      <c r="BAJ36" s="27"/>
      <c r="BAK36" s="27"/>
      <c r="BAL36" s="27"/>
      <c r="BAM36" s="27"/>
      <c r="BAN36" s="27"/>
      <c r="BAO36" s="27"/>
      <c r="BAP36" s="27"/>
      <c r="BAQ36" s="27"/>
      <c r="BAR36" s="27"/>
      <c r="BAS36" s="27"/>
      <c r="BAT36" s="27"/>
      <c r="BAU36" s="27"/>
      <c r="BAV36" s="27"/>
      <c r="BAW36" s="27"/>
      <c r="BAX36" s="27"/>
      <c r="BAY36" s="27"/>
      <c r="BAZ36" s="27"/>
      <c r="BBA36" s="27"/>
      <c r="BBB36" s="27"/>
      <c r="BBC36" s="27"/>
      <c r="BBD36" s="27"/>
      <c r="BBE36" s="27"/>
      <c r="BBF36" s="27"/>
      <c r="BBG36" s="27"/>
      <c r="BBH36" s="27"/>
      <c r="BBI36" s="27"/>
      <c r="BBJ36" s="27"/>
      <c r="BBK36" s="27"/>
      <c r="BBL36" s="27"/>
      <c r="BBM36" s="27"/>
      <c r="BBN36" s="27"/>
      <c r="BBO36" s="27"/>
      <c r="BBP36" s="27"/>
      <c r="BBQ36" s="27"/>
      <c r="BBR36" s="27"/>
      <c r="BBS36" s="27"/>
      <c r="BBT36" s="27"/>
      <c r="BBU36" s="27"/>
      <c r="BBV36" s="27"/>
      <c r="BBW36" s="27"/>
      <c r="BBX36" s="27"/>
      <c r="BBY36" s="27"/>
      <c r="BBZ36" s="27"/>
      <c r="BCA36" s="27"/>
      <c r="BCB36" s="27"/>
      <c r="BCC36" s="27"/>
      <c r="BCD36" s="27"/>
      <c r="BCE36" s="27"/>
      <c r="BCF36" s="27"/>
      <c r="BCG36" s="27"/>
      <c r="BCH36" s="27"/>
      <c r="BCI36" s="27"/>
      <c r="BCJ36" s="27"/>
      <c r="BCK36" s="27"/>
      <c r="BCL36" s="27"/>
      <c r="BCM36" s="27"/>
      <c r="BCN36" s="27"/>
      <c r="BCO36" s="27"/>
      <c r="BCP36" s="27"/>
      <c r="BCQ36" s="27"/>
      <c r="BCR36" s="27"/>
      <c r="BCS36" s="27"/>
      <c r="BCT36" s="27"/>
      <c r="BCU36" s="27"/>
      <c r="BCV36" s="27"/>
      <c r="BCW36" s="27"/>
      <c r="BCX36" s="27"/>
      <c r="BCY36" s="27"/>
      <c r="BCZ36" s="27"/>
      <c r="BDA36" s="27"/>
      <c r="BDB36" s="27"/>
      <c r="BDC36" s="27"/>
      <c r="BDD36" s="27"/>
      <c r="BDE36" s="27"/>
      <c r="BDF36" s="27"/>
      <c r="BDG36" s="27"/>
      <c r="BDH36" s="27"/>
      <c r="BDI36" s="27"/>
      <c r="BDJ36" s="27"/>
      <c r="BDK36" s="27"/>
      <c r="BDL36" s="27"/>
      <c r="BDM36" s="27"/>
      <c r="BDN36" s="27"/>
      <c r="BDO36" s="27"/>
      <c r="BDP36" s="27"/>
      <c r="BDQ36" s="27"/>
      <c r="BDR36" s="27"/>
      <c r="BDS36" s="27"/>
      <c r="BDT36" s="27"/>
      <c r="BDU36" s="27"/>
      <c r="BDV36" s="27"/>
      <c r="BDW36" s="27"/>
      <c r="BDX36" s="27"/>
      <c r="BDY36" s="27"/>
      <c r="BDZ36" s="27"/>
      <c r="BEA36" s="27"/>
      <c r="BEB36" s="27"/>
      <c r="BEC36" s="27"/>
      <c r="BED36" s="27"/>
      <c r="BEE36" s="27"/>
      <c r="BEF36" s="27"/>
      <c r="BEG36" s="27"/>
      <c r="BEH36" s="27"/>
      <c r="BEI36" s="27"/>
      <c r="BEJ36" s="27"/>
      <c r="BEK36" s="27"/>
      <c r="BEL36" s="27"/>
      <c r="BEM36" s="27"/>
      <c r="BEN36" s="27"/>
      <c r="BEO36" s="27"/>
      <c r="BEP36" s="27"/>
      <c r="BEQ36" s="27"/>
      <c r="BER36" s="27"/>
      <c r="BES36" s="27"/>
      <c r="BET36" s="27"/>
      <c r="BEU36" s="27"/>
      <c r="BEV36" s="27"/>
      <c r="BEW36" s="27"/>
      <c r="BEX36" s="27"/>
      <c r="BEY36" s="27"/>
      <c r="BEZ36" s="27"/>
      <c r="BFA36" s="27"/>
      <c r="BFB36" s="27"/>
      <c r="BFC36" s="27"/>
      <c r="BFD36" s="27"/>
      <c r="BFE36" s="27"/>
      <c r="BFF36" s="27"/>
      <c r="BFG36" s="27"/>
      <c r="BFH36" s="27"/>
      <c r="BFI36" s="27"/>
      <c r="BFJ36" s="27"/>
      <c r="BFK36" s="27"/>
      <c r="BFL36" s="27"/>
      <c r="BFM36" s="27"/>
      <c r="BFN36" s="27"/>
      <c r="BFO36" s="27"/>
      <c r="BFP36" s="27"/>
      <c r="BFQ36" s="27"/>
      <c r="BFR36" s="27"/>
      <c r="BFS36" s="27"/>
      <c r="BFT36" s="27"/>
      <c r="BFU36" s="27"/>
      <c r="BFV36" s="27"/>
      <c r="BFW36" s="27"/>
      <c r="BFX36" s="27"/>
      <c r="BFY36" s="27"/>
      <c r="BFZ36" s="27"/>
      <c r="BGA36" s="27"/>
      <c r="BGB36" s="27"/>
      <c r="BGC36" s="27"/>
      <c r="BGD36" s="27"/>
      <c r="BGE36" s="27"/>
      <c r="BGF36" s="27"/>
      <c r="BGG36" s="27"/>
      <c r="BGH36" s="27"/>
      <c r="BGI36" s="27"/>
      <c r="BGJ36" s="27"/>
      <c r="BGK36" s="27"/>
      <c r="BGL36" s="27"/>
      <c r="BGM36" s="27"/>
      <c r="BGN36" s="27"/>
      <c r="BGO36" s="27"/>
      <c r="BGP36" s="27"/>
      <c r="BGQ36" s="27"/>
      <c r="BGR36" s="27"/>
      <c r="BGS36" s="27"/>
      <c r="BGT36" s="27"/>
      <c r="BGU36" s="27"/>
      <c r="BGV36" s="27"/>
      <c r="BGW36" s="27"/>
      <c r="BGX36" s="27"/>
      <c r="BGY36" s="27"/>
      <c r="BGZ36" s="27"/>
      <c r="BHA36" s="27"/>
      <c r="BHB36" s="27"/>
      <c r="BHC36" s="27"/>
      <c r="BHD36" s="27"/>
      <c r="BHE36" s="27"/>
      <c r="BHF36" s="27"/>
      <c r="BHG36" s="27"/>
      <c r="BHH36" s="27"/>
      <c r="BHI36" s="27"/>
      <c r="BHJ36" s="27"/>
      <c r="BHK36" s="27"/>
      <c r="BHL36" s="27"/>
      <c r="BHM36" s="27"/>
      <c r="BHN36" s="27"/>
      <c r="BHO36" s="27"/>
      <c r="BHP36" s="27"/>
      <c r="BHQ36" s="27"/>
      <c r="BHR36" s="27"/>
      <c r="BHS36" s="27"/>
      <c r="BHT36" s="27"/>
      <c r="BHU36" s="27"/>
      <c r="BHV36" s="27"/>
      <c r="BHW36" s="27"/>
      <c r="BHX36" s="27"/>
      <c r="BHY36" s="27"/>
      <c r="BHZ36" s="27"/>
      <c r="BIA36" s="27"/>
      <c r="BIB36" s="27"/>
      <c r="BIC36" s="27"/>
      <c r="BID36" s="27"/>
      <c r="BIE36" s="27"/>
      <c r="BIF36" s="27"/>
      <c r="BIG36" s="27"/>
      <c r="BIH36" s="27"/>
      <c r="BII36" s="27"/>
      <c r="BIJ36" s="27"/>
      <c r="BIK36" s="27"/>
      <c r="BIL36" s="27"/>
      <c r="BIM36" s="27"/>
      <c r="BIN36" s="27"/>
      <c r="BIO36" s="27"/>
      <c r="BIP36" s="27"/>
      <c r="BIQ36" s="27"/>
      <c r="BIR36" s="27"/>
      <c r="BIS36" s="27"/>
      <c r="BIT36" s="27"/>
      <c r="BIU36" s="27"/>
      <c r="BIV36" s="27"/>
      <c r="BIW36" s="27"/>
      <c r="BIX36" s="27"/>
      <c r="BIY36" s="27"/>
      <c r="BIZ36" s="27"/>
      <c r="BJA36" s="27"/>
      <c r="BJB36" s="27"/>
      <c r="BJC36" s="27"/>
      <c r="BJD36" s="27"/>
      <c r="BJE36" s="27"/>
      <c r="BJF36" s="27"/>
      <c r="BJG36" s="27"/>
      <c r="BJH36" s="27"/>
      <c r="BJI36" s="27"/>
      <c r="BJJ36" s="27"/>
      <c r="BJK36" s="27"/>
      <c r="BJL36" s="27"/>
      <c r="BJM36" s="27"/>
      <c r="BJN36" s="27"/>
      <c r="BJO36" s="27"/>
      <c r="BJP36" s="27"/>
      <c r="BJQ36" s="27"/>
      <c r="BJR36" s="27"/>
      <c r="BJS36" s="27"/>
      <c r="BJT36" s="27"/>
      <c r="BJU36" s="27"/>
      <c r="BJV36" s="27"/>
      <c r="BJW36" s="27"/>
      <c r="BJX36" s="27"/>
      <c r="BJY36" s="27"/>
      <c r="BJZ36" s="27"/>
      <c r="BKA36" s="27"/>
      <c r="BKB36" s="27"/>
      <c r="BKC36" s="27"/>
      <c r="BKD36" s="27"/>
      <c r="BKE36" s="27"/>
      <c r="BKF36" s="27"/>
      <c r="BKG36" s="27"/>
      <c r="BKH36" s="27"/>
      <c r="BKI36" s="27"/>
      <c r="BKJ36" s="27"/>
      <c r="BKK36" s="27"/>
      <c r="BKL36" s="27"/>
      <c r="BKM36" s="27"/>
      <c r="BKN36" s="27"/>
      <c r="BKO36" s="27"/>
      <c r="BKP36" s="27"/>
      <c r="BKQ36" s="27"/>
      <c r="BKR36" s="27"/>
      <c r="BKS36" s="27"/>
      <c r="BKT36" s="27"/>
      <c r="BKU36" s="27"/>
      <c r="BKV36" s="27"/>
      <c r="BKW36" s="27"/>
      <c r="BKX36" s="27"/>
      <c r="BKY36" s="27"/>
      <c r="BKZ36" s="27"/>
      <c r="BLA36" s="27"/>
      <c r="BLB36" s="27"/>
      <c r="BLC36" s="27"/>
      <c r="BLD36" s="27"/>
      <c r="BLE36" s="27"/>
      <c r="BLF36" s="27"/>
      <c r="BLG36" s="27"/>
      <c r="BLH36" s="27"/>
      <c r="BLI36" s="27"/>
      <c r="BLJ36" s="27"/>
      <c r="BLK36" s="27"/>
      <c r="BLL36" s="27"/>
      <c r="BLM36" s="27"/>
      <c r="BLN36" s="27"/>
      <c r="BLO36" s="27"/>
      <c r="BLP36" s="27"/>
      <c r="BLQ36" s="27"/>
      <c r="BLR36" s="27"/>
      <c r="BLS36" s="27"/>
      <c r="BLT36" s="27"/>
      <c r="BLU36" s="27"/>
      <c r="BLV36" s="27"/>
      <c r="BLW36" s="27"/>
      <c r="BLX36" s="27"/>
      <c r="BLY36" s="27"/>
      <c r="BLZ36" s="27"/>
      <c r="BMA36" s="27"/>
      <c r="BMB36" s="27"/>
      <c r="BMC36" s="27"/>
      <c r="BMD36" s="27"/>
      <c r="BME36" s="27"/>
      <c r="BMF36" s="27"/>
      <c r="BMG36" s="27"/>
      <c r="BMH36" s="27"/>
      <c r="BMI36" s="27"/>
      <c r="BMJ36" s="27"/>
      <c r="BMK36" s="27"/>
      <c r="BML36" s="27"/>
      <c r="BMM36" s="27"/>
      <c r="BMN36" s="27"/>
      <c r="BMO36" s="27"/>
      <c r="BMP36" s="27"/>
      <c r="BMQ36" s="27"/>
      <c r="BMR36" s="27"/>
      <c r="BMS36" s="27"/>
      <c r="BMT36" s="27"/>
      <c r="BMU36" s="27"/>
      <c r="BMV36" s="27"/>
      <c r="BMW36" s="27"/>
      <c r="BMX36" s="27"/>
      <c r="BMY36" s="27"/>
      <c r="BMZ36" s="27"/>
      <c r="BNA36" s="27"/>
      <c r="BNB36" s="27"/>
      <c r="BNC36" s="27"/>
      <c r="BND36" s="27"/>
      <c r="BNE36" s="27"/>
      <c r="BNF36" s="27"/>
      <c r="BNG36" s="27"/>
      <c r="BNH36" s="27"/>
      <c r="BNI36" s="27"/>
      <c r="BNJ36" s="27"/>
      <c r="BNK36" s="27"/>
      <c r="BNL36" s="27"/>
      <c r="BNM36" s="27"/>
      <c r="BNN36" s="27"/>
      <c r="BNO36" s="27"/>
      <c r="BNP36" s="27"/>
      <c r="BNQ36" s="27"/>
      <c r="BNR36" s="27"/>
      <c r="BNS36" s="27"/>
      <c r="BNT36" s="27"/>
      <c r="BNU36" s="27"/>
      <c r="BNV36" s="27"/>
      <c r="BNW36" s="27"/>
      <c r="BNX36" s="27"/>
      <c r="BNY36" s="27"/>
      <c r="BNZ36" s="27"/>
      <c r="BOA36" s="27"/>
      <c r="BOB36" s="27"/>
      <c r="BOC36" s="27"/>
      <c r="BOD36" s="27"/>
      <c r="BOE36" s="27"/>
      <c r="BOF36" s="27"/>
      <c r="BOG36" s="27"/>
      <c r="BOH36" s="27"/>
      <c r="BOI36" s="27"/>
      <c r="BOJ36" s="27"/>
      <c r="BOK36" s="27"/>
      <c r="BOL36" s="27"/>
      <c r="BOM36" s="27"/>
      <c r="BON36" s="27"/>
      <c r="BOO36" s="27"/>
      <c r="BOP36" s="27"/>
      <c r="BOQ36" s="27"/>
      <c r="BOR36" s="27"/>
      <c r="BOS36" s="27"/>
      <c r="BOT36" s="27"/>
      <c r="BOU36" s="27"/>
      <c r="BOV36" s="27"/>
      <c r="BOW36" s="27"/>
      <c r="BOX36" s="27"/>
      <c r="BOY36" s="27"/>
      <c r="BOZ36" s="27"/>
      <c r="BPA36" s="27"/>
      <c r="BPB36" s="27"/>
      <c r="BPC36" s="27"/>
      <c r="BPD36" s="27"/>
      <c r="BPE36" s="27"/>
      <c r="BPF36" s="27"/>
      <c r="BPG36" s="27"/>
      <c r="BPH36" s="27"/>
      <c r="BPI36" s="27"/>
      <c r="BPJ36" s="27"/>
      <c r="BPK36" s="27"/>
      <c r="BPL36" s="27"/>
      <c r="BPM36" s="27"/>
      <c r="BPN36" s="27"/>
      <c r="BPO36" s="27"/>
      <c r="BPP36" s="27"/>
      <c r="BPQ36" s="27"/>
      <c r="BPR36" s="27"/>
      <c r="BPS36" s="27"/>
      <c r="BPT36" s="27"/>
      <c r="BPU36" s="27"/>
      <c r="BPV36" s="27"/>
      <c r="BPW36" s="27"/>
      <c r="BPX36" s="27"/>
      <c r="BPY36" s="27"/>
      <c r="BPZ36" s="27"/>
      <c r="BQA36" s="27"/>
      <c r="BQB36" s="27"/>
      <c r="BQC36" s="27"/>
      <c r="BQD36" s="27"/>
      <c r="BQE36" s="27"/>
      <c r="BQF36" s="27"/>
      <c r="BQG36" s="27"/>
      <c r="BQH36" s="27"/>
      <c r="BQI36" s="27"/>
      <c r="BQJ36" s="27"/>
      <c r="BQK36" s="27"/>
      <c r="BQL36" s="27"/>
      <c r="BQM36" s="27"/>
      <c r="BQN36" s="27"/>
      <c r="BQO36" s="27"/>
      <c r="BQP36" s="27"/>
      <c r="BQQ36" s="27"/>
      <c r="BQR36" s="27"/>
      <c r="BQS36" s="27"/>
      <c r="BQT36" s="27"/>
      <c r="BQU36" s="27"/>
      <c r="BQV36" s="27"/>
      <c r="BQW36" s="27"/>
      <c r="BQX36" s="27"/>
      <c r="BQY36" s="27"/>
      <c r="BQZ36" s="27"/>
      <c r="BRA36" s="27"/>
      <c r="BRB36" s="27"/>
      <c r="BRC36" s="27"/>
      <c r="BRD36" s="27"/>
      <c r="BRE36" s="27"/>
      <c r="BRF36" s="27"/>
      <c r="BRG36" s="27"/>
      <c r="BRH36" s="27"/>
      <c r="BRI36" s="27"/>
      <c r="BRJ36" s="27"/>
      <c r="BRK36" s="27"/>
      <c r="BRL36" s="27"/>
      <c r="BRM36" s="27"/>
      <c r="BRN36" s="27"/>
      <c r="BRO36" s="27"/>
      <c r="BRP36" s="27"/>
      <c r="BRQ36" s="27"/>
      <c r="BRR36" s="27"/>
      <c r="BRS36" s="27"/>
      <c r="BRT36" s="27"/>
      <c r="BRU36" s="27"/>
      <c r="BRV36" s="27"/>
      <c r="BRW36" s="27"/>
      <c r="BRX36" s="27"/>
      <c r="BRY36" s="27"/>
      <c r="BRZ36" s="27"/>
      <c r="BSA36" s="27"/>
      <c r="BSB36" s="27"/>
      <c r="BSC36" s="27"/>
      <c r="BSD36" s="27"/>
      <c r="BSE36" s="27"/>
      <c r="BSF36" s="27"/>
      <c r="BSG36" s="27"/>
      <c r="BSH36" s="27"/>
      <c r="BSI36" s="27"/>
      <c r="BSJ36" s="27"/>
      <c r="BSK36" s="27"/>
      <c r="BSL36" s="27"/>
      <c r="BSM36" s="27"/>
      <c r="BSN36" s="27"/>
      <c r="BSO36" s="27"/>
      <c r="BSP36" s="27"/>
      <c r="BSQ36" s="27"/>
      <c r="BSR36" s="27"/>
      <c r="BSS36" s="27"/>
      <c r="BST36" s="27"/>
      <c r="BSU36" s="27"/>
      <c r="BSV36" s="27"/>
      <c r="BSW36" s="27"/>
      <c r="BSX36" s="27"/>
      <c r="BSY36" s="27"/>
      <c r="BSZ36" s="27"/>
      <c r="BTA36" s="27"/>
      <c r="BTB36" s="27"/>
      <c r="BTC36" s="27"/>
      <c r="BTD36" s="27"/>
      <c r="BTE36" s="27"/>
      <c r="BTF36" s="27"/>
      <c r="BTG36" s="27"/>
      <c r="BTH36" s="27"/>
      <c r="BTI36" s="27"/>
      <c r="BTJ36" s="27"/>
      <c r="BTK36" s="27"/>
      <c r="BTL36" s="27"/>
      <c r="BTM36" s="27"/>
      <c r="BTN36" s="27"/>
      <c r="BTO36" s="27"/>
      <c r="BTP36" s="27"/>
      <c r="BTQ36" s="27"/>
      <c r="BTR36" s="27"/>
      <c r="BTS36" s="27"/>
      <c r="BTT36" s="27"/>
      <c r="BTU36" s="27"/>
      <c r="BTV36" s="27"/>
      <c r="BTW36" s="27"/>
      <c r="BTX36" s="27"/>
      <c r="BTY36" s="27"/>
      <c r="BTZ36" s="27"/>
      <c r="BUA36" s="27"/>
      <c r="BUB36" s="27"/>
      <c r="BUC36" s="27"/>
      <c r="BUD36" s="27"/>
      <c r="BUE36" s="27"/>
      <c r="BUF36" s="27"/>
      <c r="BUG36" s="27"/>
      <c r="BUH36" s="27"/>
      <c r="BUI36" s="27"/>
      <c r="BUJ36" s="27"/>
      <c r="BUK36" s="27"/>
      <c r="BUL36" s="27"/>
      <c r="BUM36" s="27"/>
      <c r="BUN36" s="27"/>
      <c r="BUO36" s="27"/>
      <c r="BUP36" s="27"/>
      <c r="BUQ36" s="27"/>
      <c r="BUR36" s="27"/>
      <c r="BUS36" s="27"/>
      <c r="BUT36" s="27"/>
      <c r="BUU36" s="27"/>
      <c r="BUV36" s="27"/>
      <c r="BUW36" s="27"/>
      <c r="BUX36" s="27"/>
      <c r="BUY36" s="27"/>
      <c r="BUZ36" s="27"/>
      <c r="BVA36" s="27"/>
      <c r="BVB36" s="27"/>
      <c r="BVC36" s="27"/>
      <c r="BVD36" s="27"/>
      <c r="BVE36" s="27"/>
      <c r="BVF36" s="27"/>
      <c r="BVG36" s="27"/>
      <c r="BVH36" s="27"/>
      <c r="BVI36" s="27"/>
      <c r="BVJ36" s="27"/>
      <c r="BVK36" s="27"/>
      <c r="BVL36" s="27"/>
      <c r="BVM36" s="27"/>
      <c r="BVN36" s="27"/>
      <c r="BVO36" s="27"/>
      <c r="BVP36" s="27"/>
      <c r="BVQ36" s="27"/>
      <c r="BVR36" s="27"/>
      <c r="BVS36" s="27"/>
      <c r="BVT36" s="27"/>
      <c r="BVU36" s="27"/>
      <c r="BVV36" s="27"/>
      <c r="BVW36" s="27"/>
      <c r="BVX36" s="27"/>
      <c r="BVY36" s="27"/>
      <c r="BVZ36" s="27"/>
      <c r="BWA36" s="27"/>
      <c r="BWB36" s="27"/>
      <c r="BWC36" s="27"/>
      <c r="BWD36" s="27"/>
      <c r="BWE36" s="27"/>
      <c r="BWF36" s="27"/>
      <c r="BWG36" s="27"/>
      <c r="BWH36" s="27"/>
      <c r="BWI36" s="27"/>
      <c r="BWJ36" s="27"/>
      <c r="BWK36" s="27"/>
      <c r="BWL36" s="27"/>
      <c r="BWM36" s="27"/>
      <c r="BWN36" s="27"/>
      <c r="BWO36" s="27"/>
      <c r="BWP36" s="27"/>
      <c r="BWQ36" s="27"/>
      <c r="BWR36" s="27"/>
      <c r="BWS36" s="27"/>
      <c r="BWT36" s="27"/>
      <c r="BWU36" s="27"/>
      <c r="BWV36" s="27"/>
      <c r="BWW36" s="27"/>
      <c r="BWX36" s="27"/>
      <c r="BWY36" s="27"/>
      <c r="BWZ36" s="27"/>
      <c r="BXA36" s="27"/>
      <c r="BXB36" s="27"/>
      <c r="BXC36" s="27"/>
      <c r="BXD36" s="27"/>
      <c r="BXE36" s="27"/>
      <c r="BXF36" s="27"/>
      <c r="BXG36" s="27"/>
      <c r="BXH36" s="27"/>
      <c r="BXI36" s="27"/>
      <c r="BXJ36" s="27"/>
      <c r="BXK36" s="27"/>
      <c r="BXL36" s="27"/>
      <c r="BXM36" s="27"/>
      <c r="BXN36" s="27"/>
      <c r="BXO36" s="27"/>
      <c r="BXP36" s="27"/>
      <c r="BXQ36" s="27"/>
      <c r="BXR36" s="27"/>
      <c r="BXS36" s="27"/>
      <c r="BXT36" s="27"/>
      <c r="BXU36" s="27"/>
      <c r="BXV36" s="27"/>
      <c r="BXW36" s="27"/>
      <c r="BXX36" s="27"/>
      <c r="BXY36" s="27"/>
      <c r="BXZ36" s="27"/>
      <c r="BYA36" s="27"/>
      <c r="BYB36" s="27"/>
      <c r="BYC36" s="27"/>
      <c r="BYD36" s="27"/>
      <c r="BYE36" s="27"/>
      <c r="BYF36" s="27"/>
      <c r="BYG36" s="27"/>
      <c r="BYH36" s="27"/>
      <c r="BYI36" s="27"/>
      <c r="BYJ36" s="27"/>
      <c r="BYK36" s="27"/>
      <c r="BYL36" s="27"/>
      <c r="BYM36" s="27"/>
      <c r="BYN36" s="27"/>
      <c r="BYO36" s="27"/>
      <c r="BYP36" s="27"/>
      <c r="BYQ36" s="27"/>
      <c r="BYR36" s="27"/>
      <c r="BYS36" s="27"/>
      <c r="BYT36" s="27"/>
      <c r="BYU36" s="27"/>
      <c r="BYV36" s="27"/>
      <c r="BYW36" s="27"/>
      <c r="BYX36" s="27"/>
      <c r="BYY36" s="27"/>
      <c r="BYZ36" s="27"/>
      <c r="BZA36" s="27"/>
      <c r="BZB36" s="27"/>
      <c r="BZC36" s="27"/>
      <c r="BZD36" s="27"/>
      <c r="BZE36" s="27"/>
      <c r="BZF36" s="27"/>
      <c r="BZG36" s="27"/>
      <c r="BZH36" s="27"/>
      <c r="BZI36" s="27"/>
      <c r="BZJ36" s="27"/>
      <c r="BZK36" s="27"/>
      <c r="BZL36" s="27"/>
      <c r="BZM36" s="27"/>
      <c r="BZN36" s="27"/>
      <c r="BZO36" s="27"/>
      <c r="BZP36" s="27"/>
      <c r="BZQ36" s="27"/>
      <c r="BZR36" s="27"/>
      <c r="BZS36" s="27"/>
      <c r="BZT36" s="27"/>
      <c r="BZU36" s="27"/>
      <c r="BZV36" s="27"/>
      <c r="BZW36" s="27"/>
      <c r="BZX36" s="27"/>
      <c r="BZY36" s="27"/>
      <c r="BZZ36" s="27"/>
      <c r="CAA36" s="27"/>
      <c r="CAB36" s="27"/>
      <c r="CAC36" s="27"/>
      <c r="CAD36" s="27"/>
      <c r="CAE36" s="27"/>
      <c r="CAF36" s="27"/>
      <c r="CAG36" s="27"/>
      <c r="CAH36" s="27"/>
      <c r="CAI36" s="27"/>
      <c r="CAJ36" s="27"/>
      <c r="CAK36" s="27"/>
      <c r="CAL36" s="27"/>
      <c r="CAM36" s="27"/>
      <c r="CAN36" s="27"/>
      <c r="CAO36" s="27"/>
      <c r="CAP36" s="27"/>
      <c r="CAQ36" s="27"/>
      <c r="CAR36" s="27"/>
      <c r="CAS36" s="27"/>
      <c r="CAT36" s="27"/>
      <c r="CAU36" s="27"/>
      <c r="CAV36" s="27"/>
      <c r="CAW36" s="27"/>
      <c r="CAX36" s="27"/>
      <c r="CAY36" s="27"/>
      <c r="CAZ36" s="27"/>
      <c r="CBA36" s="27"/>
      <c r="CBB36" s="27"/>
      <c r="CBC36" s="27"/>
      <c r="CBD36" s="27"/>
      <c r="CBE36" s="27"/>
      <c r="CBF36" s="27"/>
      <c r="CBG36" s="27"/>
      <c r="CBH36" s="27"/>
      <c r="CBI36" s="27"/>
      <c r="CBJ36" s="27"/>
      <c r="CBK36" s="27"/>
      <c r="CBL36" s="27"/>
      <c r="CBM36" s="27"/>
      <c r="CBN36" s="27"/>
      <c r="CBO36" s="27"/>
      <c r="CBP36" s="27"/>
      <c r="CBQ36" s="27"/>
      <c r="CBR36" s="27"/>
      <c r="CBS36" s="27"/>
      <c r="CBT36" s="27"/>
      <c r="CBU36" s="27"/>
      <c r="CBV36" s="27"/>
      <c r="CBW36" s="27"/>
      <c r="CBX36" s="27"/>
      <c r="CBY36" s="27"/>
      <c r="CBZ36" s="27"/>
      <c r="CCA36" s="27"/>
      <c r="CCB36" s="27"/>
      <c r="CCC36" s="27"/>
      <c r="CCD36" s="27"/>
      <c r="CCE36" s="27"/>
      <c r="CCF36" s="27"/>
      <c r="CCG36" s="27"/>
      <c r="CCH36" s="27"/>
      <c r="CCI36" s="27"/>
      <c r="CCJ36" s="27"/>
      <c r="CCK36" s="27"/>
      <c r="CCL36" s="27"/>
      <c r="CCM36" s="27"/>
      <c r="CCN36" s="27"/>
      <c r="CCO36" s="27"/>
      <c r="CCP36" s="27"/>
      <c r="CCQ36" s="27"/>
      <c r="CCR36" s="27"/>
      <c r="CCS36" s="27"/>
      <c r="CCT36" s="27"/>
      <c r="CCU36" s="27"/>
      <c r="CCV36" s="27"/>
      <c r="CCW36" s="27"/>
      <c r="CCX36" s="27"/>
      <c r="CCY36" s="27"/>
      <c r="CCZ36" s="27"/>
      <c r="CDA36" s="27"/>
      <c r="CDB36" s="27"/>
      <c r="CDC36" s="27"/>
      <c r="CDD36" s="27"/>
      <c r="CDE36" s="27"/>
      <c r="CDF36" s="27"/>
      <c r="CDG36" s="27"/>
      <c r="CDH36" s="27"/>
      <c r="CDI36" s="27"/>
      <c r="CDJ36" s="27"/>
      <c r="CDK36" s="27"/>
      <c r="CDL36" s="27"/>
      <c r="CDM36" s="27"/>
      <c r="CDN36" s="27"/>
      <c r="CDO36" s="27"/>
      <c r="CDP36" s="27"/>
      <c r="CDQ36" s="27"/>
      <c r="CDR36" s="27"/>
      <c r="CDS36" s="27"/>
      <c r="CDT36" s="27"/>
      <c r="CDU36" s="27"/>
      <c r="CDV36" s="27"/>
      <c r="CDW36" s="27"/>
      <c r="CDX36" s="27"/>
      <c r="CDY36" s="27"/>
      <c r="CDZ36" s="27"/>
      <c r="CEA36" s="27"/>
      <c r="CEB36" s="27"/>
      <c r="CEC36" s="27"/>
      <c r="CED36" s="27"/>
      <c r="CEE36" s="27"/>
      <c r="CEF36" s="27"/>
      <c r="CEG36" s="27"/>
      <c r="CEH36" s="27"/>
      <c r="CEI36" s="27"/>
      <c r="CEJ36" s="27"/>
      <c r="CEK36" s="27"/>
      <c r="CEL36" s="27"/>
      <c r="CEM36" s="27"/>
      <c r="CEN36" s="27"/>
      <c r="CEO36" s="27"/>
      <c r="CEP36" s="27"/>
      <c r="CEQ36" s="27"/>
      <c r="CER36" s="27"/>
      <c r="CES36" s="27"/>
      <c r="CET36" s="27"/>
      <c r="CEU36" s="27"/>
      <c r="CEV36" s="27"/>
      <c r="CEW36" s="27"/>
      <c r="CEX36" s="27"/>
      <c r="CEY36" s="27"/>
      <c r="CEZ36" s="27"/>
      <c r="CFA36" s="27"/>
      <c r="CFB36" s="27"/>
      <c r="CFC36" s="27"/>
      <c r="CFD36" s="27"/>
      <c r="CFE36" s="27"/>
      <c r="CFF36" s="27"/>
      <c r="CFG36" s="27"/>
      <c r="CFH36" s="27"/>
      <c r="CFI36" s="27"/>
      <c r="CFJ36" s="27"/>
      <c r="CFK36" s="27"/>
      <c r="CFL36" s="27"/>
      <c r="CFM36" s="27"/>
      <c r="CFN36" s="27"/>
      <c r="CFO36" s="27"/>
      <c r="CFP36" s="27"/>
      <c r="CFQ36" s="27"/>
      <c r="CFR36" s="27"/>
      <c r="CFS36" s="27"/>
      <c r="CFT36" s="27"/>
      <c r="CFU36" s="27"/>
      <c r="CFV36" s="27"/>
      <c r="CFW36" s="27"/>
      <c r="CFX36" s="27"/>
      <c r="CFY36" s="27"/>
      <c r="CFZ36" s="27"/>
      <c r="CGA36" s="27"/>
      <c r="CGB36" s="27"/>
      <c r="CGC36" s="27"/>
      <c r="CGD36" s="27"/>
      <c r="CGE36" s="27"/>
      <c r="CGF36" s="27"/>
      <c r="CGG36" s="27"/>
      <c r="CGH36" s="27"/>
      <c r="CGI36" s="27"/>
      <c r="CGJ36" s="27"/>
      <c r="CGK36" s="27"/>
      <c r="CGL36" s="27"/>
      <c r="CGM36" s="27"/>
      <c r="CGN36" s="27"/>
      <c r="CGO36" s="27"/>
      <c r="CGP36" s="27"/>
      <c r="CGQ36" s="27"/>
      <c r="CGR36" s="27"/>
      <c r="CGS36" s="27"/>
      <c r="CGT36" s="27"/>
      <c r="CGU36" s="27"/>
      <c r="CGV36" s="27"/>
      <c r="CGW36" s="27"/>
      <c r="CGX36" s="27"/>
      <c r="CGY36" s="27"/>
      <c r="CGZ36" s="27"/>
      <c r="CHA36" s="27"/>
      <c r="CHB36" s="27"/>
      <c r="CHC36" s="27"/>
      <c r="CHD36" s="27"/>
      <c r="CHE36" s="27"/>
      <c r="CHF36" s="27"/>
      <c r="CHG36" s="27"/>
      <c r="CHH36" s="27"/>
      <c r="CHI36" s="27"/>
      <c r="CHJ36" s="27"/>
      <c r="CHK36" s="27"/>
      <c r="CHL36" s="27"/>
      <c r="CHM36" s="27"/>
      <c r="CHN36" s="27"/>
      <c r="CHO36" s="27"/>
      <c r="CHP36" s="27"/>
      <c r="CHQ36" s="27"/>
      <c r="CHR36" s="27"/>
      <c r="CHS36" s="27"/>
      <c r="CHT36" s="27"/>
      <c r="CHU36" s="27"/>
      <c r="CHV36" s="27"/>
      <c r="CHW36" s="27"/>
      <c r="CHX36" s="27"/>
      <c r="CHY36" s="27"/>
      <c r="CHZ36" s="27"/>
      <c r="CIA36" s="27"/>
      <c r="CIB36" s="27"/>
      <c r="CIC36" s="27"/>
      <c r="CID36" s="27"/>
      <c r="CIE36" s="27"/>
      <c r="CIF36" s="27"/>
      <c r="CIG36" s="27"/>
      <c r="CIH36" s="27"/>
      <c r="CII36" s="27"/>
      <c r="CIJ36" s="27"/>
      <c r="CIK36" s="27"/>
      <c r="CIL36" s="27"/>
      <c r="CIM36" s="27"/>
      <c r="CIN36" s="27"/>
      <c r="CIO36" s="27"/>
      <c r="CIP36" s="27"/>
      <c r="CIQ36" s="27"/>
      <c r="CIR36" s="27"/>
      <c r="CIS36" s="27"/>
      <c r="CIT36" s="27"/>
      <c r="CIU36" s="27"/>
      <c r="CIV36" s="27"/>
      <c r="CIW36" s="27"/>
      <c r="CIX36" s="27"/>
      <c r="CIY36" s="27"/>
      <c r="CIZ36" s="27"/>
      <c r="CJA36" s="27"/>
      <c r="CJB36" s="27"/>
      <c r="CJC36" s="27"/>
      <c r="CJD36" s="27"/>
      <c r="CJE36" s="27"/>
      <c r="CJF36" s="27"/>
      <c r="CJG36" s="27"/>
      <c r="CJH36" s="27"/>
      <c r="CJI36" s="27"/>
      <c r="CJJ36" s="27"/>
      <c r="CJK36" s="27"/>
      <c r="CJL36" s="27"/>
      <c r="CJM36" s="27"/>
      <c r="CJN36" s="27"/>
      <c r="CJO36" s="27"/>
      <c r="CJP36" s="27"/>
      <c r="CJQ36" s="27"/>
      <c r="CJR36" s="27"/>
      <c r="CJS36" s="27"/>
      <c r="CJT36" s="27"/>
      <c r="CJU36" s="27"/>
      <c r="CJV36" s="27"/>
      <c r="CJW36" s="27"/>
      <c r="CJX36" s="27"/>
      <c r="CJY36" s="27"/>
      <c r="CJZ36" s="27"/>
      <c r="CKA36" s="27"/>
      <c r="CKB36" s="27"/>
      <c r="CKC36" s="27"/>
      <c r="CKD36" s="27"/>
      <c r="CKE36" s="27"/>
      <c r="CKF36" s="27"/>
      <c r="CKG36" s="27"/>
      <c r="CKH36" s="27"/>
      <c r="CKI36" s="27"/>
      <c r="CKJ36" s="27"/>
      <c r="CKK36" s="27"/>
      <c r="CKL36" s="27"/>
      <c r="CKM36" s="27"/>
      <c r="CKN36" s="27"/>
      <c r="CKO36" s="27"/>
      <c r="CKP36" s="27"/>
      <c r="CKQ36" s="27"/>
      <c r="CKR36" s="27"/>
      <c r="CKS36" s="27"/>
      <c r="CKT36" s="27"/>
      <c r="CKU36" s="27"/>
      <c r="CKV36" s="27"/>
      <c r="CKW36" s="27"/>
      <c r="CKX36" s="27"/>
      <c r="CKY36" s="27"/>
      <c r="CKZ36" s="27"/>
      <c r="CLA36" s="27"/>
      <c r="CLB36" s="27"/>
      <c r="CLC36" s="27"/>
      <c r="CLD36" s="27"/>
      <c r="CLE36" s="27"/>
      <c r="CLF36" s="27"/>
      <c r="CLG36" s="27"/>
      <c r="CLH36" s="27"/>
      <c r="CLI36" s="27"/>
      <c r="CLJ36" s="27"/>
      <c r="CLK36" s="27"/>
      <c r="CLL36" s="27"/>
      <c r="CLM36" s="27"/>
      <c r="CLN36" s="27"/>
      <c r="CLO36" s="27"/>
      <c r="CLP36" s="27"/>
      <c r="CLQ36" s="27"/>
      <c r="CLR36" s="27"/>
      <c r="CLS36" s="27"/>
      <c r="CLT36" s="27"/>
      <c r="CLU36" s="27"/>
      <c r="CLV36" s="27"/>
      <c r="CLW36" s="27"/>
      <c r="CLX36" s="27"/>
      <c r="CLY36" s="27"/>
      <c r="CLZ36" s="27"/>
      <c r="CMA36" s="27"/>
      <c r="CMB36" s="27"/>
      <c r="CMC36" s="27"/>
      <c r="CMD36" s="27"/>
      <c r="CME36" s="27"/>
      <c r="CMF36" s="27"/>
      <c r="CMG36" s="27"/>
      <c r="CMH36" s="27"/>
      <c r="CMI36" s="27"/>
      <c r="CMJ36" s="27"/>
      <c r="CMK36" s="27"/>
      <c r="CML36" s="27"/>
      <c r="CMM36" s="27"/>
      <c r="CMN36" s="27"/>
      <c r="CMO36" s="27"/>
      <c r="CMP36" s="27"/>
      <c r="CMQ36" s="27"/>
      <c r="CMR36" s="27"/>
      <c r="CMS36" s="27"/>
      <c r="CMT36" s="27"/>
      <c r="CMU36" s="27"/>
      <c r="CMV36" s="27"/>
      <c r="CMW36" s="27"/>
      <c r="CMX36" s="27"/>
      <c r="CMY36" s="27"/>
      <c r="CMZ36" s="27"/>
      <c r="CNA36" s="27"/>
      <c r="CNB36" s="27"/>
      <c r="CNC36" s="27"/>
      <c r="CND36" s="27"/>
      <c r="CNE36" s="27"/>
      <c r="CNF36" s="27"/>
      <c r="CNG36" s="27"/>
      <c r="CNH36" s="27"/>
      <c r="CNI36" s="27"/>
      <c r="CNJ36" s="27"/>
      <c r="CNK36" s="27"/>
      <c r="CNL36" s="27"/>
      <c r="CNM36" s="27"/>
      <c r="CNN36" s="27"/>
      <c r="CNO36" s="27"/>
      <c r="CNP36" s="27"/>
      <c r="CNQ36" s="27"/>
      <c r="CNR36" s="27"/>
      <c r="CNS36" s="27"/>
      <c r="CNT36" s="27"/>
      <c r="CNU36" s="27"/>
      <c r="CNV36" s="27"/>
      <c r="CNW36" s="27"/>
      <c r="CNX36" s="27"/>
      <c r="CNY36" s="27"/>
      <c r="CNZ36" s="27"/>
      <c r="COA36" s="27"/>
      <c r="COB36" s="27"/>
      <c r="COC36" s="27"/>
      <c r="COD36" s="27"/>
      <c r="COE36" s="27"/>
      <c r="COF36" s="27"/>
      <c r="COG36" s="27"/>
      <c r="COH36" s="27"/>
      <c r="COI36" s="27"/>
      <c r="COJ36" s="27"/>
      <c r="COK36" s="27"/>
      <c r="COL36" s="27"/>
      <c r="COM36" s="27"/>
      <c r="CON36" s="27"/>
      <c r="COO36" s="27"/>
      <c r="COP36" s="27"/>
      <c r="COQ36" s="27"/>
      <c r="COR36" s="27"/>
      <c r="COS36" s="27"/>
      <c r="COT36" s="27"/>
      <c r="COU36" s="27"/>
      <c r="COV36" s="27"/>
      <c r="COW36" s="27"/>
      <c r="COX36" s="27"/>
      <c r="COY36" s="27"/>
      <c r="COZ36" s="27"/>
      <c r="CPA36" s="27"/>
      <c r="CPB36" s="27"/>
      <c r="CPC36" s="27"/>
      <c r="CPD36" s="27"/>
      <c r="CPE36" s="27"/>
      <c r="CPF36" s="27"/>
      <c r="CPG36" s="27"/>
      <c r="CPH36" s="27"/>
      <c r="CPI36" s="27"/>
      <c r="CPJ36" s="27"/>
      <c r="CPK36" s="27"/>
      <c r="CPL36" s="27"/>
      <c r="CPM36" s="27"/>
      <c r="CPN36" s="27"/>
      <c r="CPO36" s="27"/>
      <c r="CPP36" s="27"/>
      <c r="CPQ36" s="27"/>
      <c r="CPR36" s="27"/>
      <c r="CPS36" s="27"/>
      <c r="CPT36" s="27"/>
      <c r="CPU36" s="27"/>
      <c r="CPV36" s="27"/>
      <c r="CPW36" s="27"/>
      <c r="CPX36" s="27"/>
      <c r="CPY36" s="27"/>
      <c r="CPZ36" s="27"/>
      <c r="CQA36" s="27"/>
      <c r="CQB36" s="27"/>
      <c r="CQC36" s="27"/>
      <c r="CQD36" s="27"/>
      <c r="CQE36" s="27"/>
      <c r="CQF36" s="27"/>
      <c r="CQG36" s="27"/>
      <c r="CQH36" s="27"/>
      <c r="CQI36" s="27"/>
      <c r="CQJ36" s="27"/>
      <c r="CQK36" s="27"/>
      <c r="CQL36" s="27"/>
      <c r="CQM36" s="27"/>
      <c r="CQN36" s="27"/>
      <c r="CQO36" s="27"/>
      <c r="CQP36" s="27"/>
      <c r="CQQ36" s="27"/>
      <c r="CQR36" s="27"/>
      <c r="CQS36" s="27"/>
      <c r="CQT36" s="27"/>
      <c r="CQU36" s="27"/>
      <c r="CQV36" s="27"/>
      <c r="CQW36" s="27"/>
      <c r="CQX36" s="27"/>
      <c r="CQY36" s="27"/>
      <c r="CQZ36" s="27"/>
      <c r="CRA36" s="27"/>
      <c r="CRB36" s="27"/>
      <c r="CRC36" s="27"/>
      <c r="CRD36" s="27"/>
      <c r="CRE36" s="27"/>
      <c r="CRF36" s="27"/>
      <c r="CRG36" s="27"/>
      <c r="CRH36" s="27"/>
      <c r="CRI36" s="27"/>
      <c r="CRJ36" s="27"/>
      <c r="CRK36" s="27"/>
      <c r="CRL36" s="27"/>
      <c r="CRM36" s="27"/>
      <c r="CRN36" s="27"/>
      <c r="CRO36" s="27"/>
      <c r="CRP36" s="27"/>
      <c r="CRQ36" s="27"/>
      <c r="CRR36" s="27"/>
      <c r="CRS36" s="27"/>
      <c r="CRT36" s="27"/>
      <c r="CRU36" s="27"/>
      <c r="CRV36" s="27"/>
      <c r="CRW36" s="27"/>
      <c r="CRX36" s="27"/>
      <c r="CRY36" s="27"/>
      <c r="CRZ36" s="27"/>
      <c r="CSA36" s="27"/>
      <c r="CSB36" s="27"/>
      <c r="CSC36" s="27"/>
      <c r="CSD36" s="27"/>
      <c r="CSE36" s="27"/>
      <c r="CSF36" s="27"/>
      <c r="CSG36" s="27"/>
      <c r="CSH36" s="27"/>
      <c r="CSI36" s="27"/>
      <c r="CSJ36" s="27"/>
      <c r="CSK36" s="27"/>
      <c r="CSL36" s="27"/>
      <c r="CSM36" s="27"/>
      <c r="CSN36" s="27"/>
      <c r="CSO36" s="27"/>
      <c r="CSP36" s="27"/>
      <c r="CSQ36" s="27"/>
      <c r="CSR36" s="27"/>
      <c r="CSS36" s="27"/>
      <c r="CST36" s="27"/>
      <c r="CSU36" s="27"/>
      <c r="CSV36" s="27"/>
      <c r="CSW36" s="27"/>
      <c r="CSX36" s="27"/>
      <c r="CSY36" s="27"/>
      <c r="CSZ36" s="27"/>
      <c r="CTA36" s="27"/>
      <c r="CTB36" s="27"/>
      <c r="CTC36" s="27"/>
      <c r="CTD36" s="27"/>
      <c r="CTE36" s="27"/>
      <c r="CTF36" s="27"/>
      <c r="CTG36" s="27"/>
      <c r="CTH36" s="27"/>
      <c r="CTI36" s="27"/>
      <c r="CTJ36" s="27"/>
      <c r="CTK36" s="27"/>
      <c r="CTL36" s="27"/>
      <c r="CTM36" s="27"/>
      <c r="CTN36" s="27"/>
      <c r="CTO36" s="27"/>
      <c r="CTP36" s="27"/>
      <c r="CTQ36" s="27"/>
      <c r="CTR36" s="27"/>
      <c r="CTS36" s="27"/>
      <c r="CTT36" s="27"/>
      <c r="CTU36" s="27"/>
      <c r="CTV36" s="27"/>
      <c r="CTW36" s="27"/>
      <c r="CTX36" s="27"/>
      <c r="CTY36" s="27"/>
      <c r="CTZ36" s="27"/>
      <c r="CUA36" s="27"/>
      <c r="CUB36" s="27"/>
      <c r="CUC36" s="27"/>
      <c r="CUD36" s="27"/>
      <c r="CUE36" s="27"/>
      <c r="CUF36" s="27"/>
      <c r="CUG36" s="27"/>
      <c r="CUH36" s="27"/>
      <c r="CUI36" s="27"/>
      <c r="CUJ36" s="27"/>
      <c r="CUK36" s="27"/>
      <c r="CUL36" s="27"/>
      <c r="CUM36" s="27"/>
      <c r="CUN36" s="27"/>
      <c r="CUO36" s="27"/>
      <c r="CUP36" s="27"/>
      <c r="CUQ36" s="27"/>
      <c r="CUR36" s="27"/>
      <c r="CUS36" s="27"/>
      <c r="CUT36" s="27"/>
      <c r="CUU36" s="27"/>
      <c r="CUV36" s="27"/>
      <c r="CUW36" s="27"/>
      <c r="CUX36" s="27"/>
      <c r="CUY36" s="27"/>
      <c r="CUZ36" s="27"/>
      <c r="CVA36" s="27"/>
      <c r="CVB36" s="27"/>
      <c r="CVC36" s="27"/>
      <c r="CVD36" s="27"/>
      <c r="CVE36" s="27"/>
      <c r="CVF36" s="27"/>
      <c r="CVG36" s="27"/>
      <c r="CVH36" s="27"/>
      <c r="CVI36" s="27"/>
      <c r="CVJ36" s="27"/>
      <c r="CVK36" s="27"/>
      <c r="CVL36" s="27"/>
      <c r="CVM36" s="27"/>
      <c r="CVN36" s="27"/>
      <c r="CVO36" s="27"/>
      <c r="CVP36" s="27"/>
      <c r="CVQ36" s="27"/>
      <c r="CVR36" s="27"/>
      <c r="CVS36" s="27"/>
      <c r="CVT36" s="27"/>
      <c r="CVU36" s="27"/>
      <c r="CVV36" s="27"/>
      <c r="CVW36" s="27"/>
      <c r="CVX36" s="27"/>
      <c r="CVY36" s="27"/>
      <c r="CVZ36" s="27"/>
      <c r="CWA36" s="27"/>
      <c r="CWB36" s="27"/>
      <c r="CWC36" s="27"/>
      <c r="CWD36" s="27"/>
      <c r="CWE36" s="27"/>
      <c r="CWF36" s="27"/>
      <c r="CWG36" s="27"/>
      <c r="CWH36" s="27"/>
      <c r="CWI36" s="27"/>
      <c r="CWJ36" s="27"/>
      <c r="CWK36" s="27"/>
      <c r="CWL36" s="27"/>
      <c r="CWM36" s="27"/>
      <c r="CWN36" s="27"/>
      <c r="CWO36" s="27"/>
      <c r="CWP36" s="27"/>
      <c r="CWQ36" s="27"/>
      <c r="CWR36" s="27"/>
      <c r="CWS36" s="27"/>
      <c r="CWT36" s="27"/>
      <c r="CWU36" s="27"/>
      <c r="CWV36" s="27"/>
      <c r="CWW36" s="27"/>
      <c r="CWX36" s="27"/>
      <c r="CWY36" s="27"/>
      <c r="CWZ36" s="27"/>
      <c r="CXA36" s="27"/>
      <c r="CXB36" s="27"/>
      <c r="CXC36" s="27"/>
      <c r="CXD36" s="27"/>
      <c r="CXE36" s="27"/>
      <c r="CXF36" s="27"/>
      <c r="CXG36" s="27"/>
      <c r="CXH36" s="27"/>
      <c r="CXI36" s="27"/>
      <c r="CXJ36" s="27"/>
      <c r="CXK36" s="27"/>
      <c r="CXL36" s="27"/>
      <c r="CXM36" s="27"/>
      <c r="CXN36" s="27"/>
      <c r="CXO36" s="27"/>
      <c r="CXP36" s="27"/>
      <c r="CXQ36" s="27"/>
      <c r="CXR36" s="27"/>
      <c r="CXS36" s="27"/>
      <c r="CXT36" s="27"/>
      <c r="CXU36" s="27"/>
      <c r="CXV36" s="27"/>
      <c r="CXW36" s="27"/>
      <c r="CXX36" s="27"/>
      <c r="CXY36" s="27"/>
      <c r="CXZ36" s="27"/>
      <c r="CYA36" s="27"/>
      <c r="CYB36" s="27"/>
      <c r="CYC36" s="27"/>
      <c r="CYD36" s="27"/>
      <c r="CYE36" s="27"/>
      <c r="CYF36" s="27"/>
      <c r="CYG36" s="27"/>
      <c r="CYH36" s="27"/>
      <c r="CYI36" s="27"/>
      <c r="CYJ36" s="27"/>
      <c r="CYK36" s="27"/>
      <c r="CYL36" s="27"/>
      <c r="CYM36" s="27"/>
      <c r="CYN36" s="27"/>
      <c r="CYO36" s="27"/>
      <c r="CYP36" s="27"/>
      <c r="CYQ36" s="27"/>
      <c r="CYR36" s="27"/>
      <c r="CYS36" s="27"/>
      <c r="CYT36" s="27"/>
      <c r="CYU36" s="27"/>
      <c r="CYV36" s="27"/>
      <c r="CYW36" s="27"/>
      <c r="CYX36" s="27"/>
      <c r="CYY36" s="27"/>
      <c r="CYZ36" s="27"/>
      <c r="CZA36" s="27"/>
      <c r="CZB36" s="27"/>
      <c r="CZC36" s="27"/>
      <c r="CZD36" s="27"/>
      <c r="CZE36" s="27"/>
      <c r="CZF36" s="27"/>
      <c r="CZG36" s="27"/>
      <c r="CZH36" s="27"/>
      <c r="CZI36" s="27"/>
      <c r="CZJ36" s="27"/>
      <c r="CZK36" s="27"/>
      <c r="CZL36" s="27"/>
      <c r="CZM36" s="27"/>
      <c r="CZN36" s="27"/>
      <c r="CZO36" s="27"/>
      <c r="CZP36" s="27"/>
      <c r="CZQ36" s="27"/>
      <c r="CZR36" s="27"/>
      <c r="CZS36" s="27"/>
      <c r="CZT36" s="27"/>
      <c r="CZU36" s="27"/>
      <c r="CZV36" s="27"/>
      <c r="CZW36" s="27"/>
      <c r="CZX36" s="27"/>
      <c r="CZY36" s="27"/>
      <c r="CZZ36" s="27"/>
      <c r="DAA36" s="27"/>
      <c r="DAB36" s="27"/>
      <c r="DAC36" s="27"/>
      <c r="DAD36" s="27"/>
      <c r="DAE36" s="27"/>
      <c r="DAF36" s="27"/>
      <c r="DAG36" s="27"/>
      <c r="DAH36" s="27"/>
      <c r="DAI36" s="27"/>
      <c r="DAJ36" s="27"/>
      <c r="DAK36" s="27"/>
      <c r="DAL36" s="27"/>
      <c r="DAM36" s="27"/>
      <c r="DAN36" s="27"/>
      <c r="DAO36" s="27"/>
      <c r="DAP36" s="27"/>
      <c r="DAQ36" s="27"/>
      <c r="DAR36" s="27"/>
      <c r="DAS36" s="27"/>
      <c r="DAT36" s="27"/>
      <c r="DAU36" s="27"/>
      <c r="DAV36" s="27"/>
      <c r="DAW36" s="27"/>
      <c r="DAX36" s="27"/>
      <c r="DAY36" s="27"/>
      <c r="DAZ36" s="27"/>
      <c r="DBA36" s="27"/>
      <c r="DBB36" s="27"/>
      <c r="DBC36" s="27"/>
      <c r="DBD36" s="27"/>
      <c r="DBE36" s="27"/>
      <c r="DBF36" s="27"/>
      <c r="DBG36" s="27"/>
      <c r="DBH36" s="27"/>
      <c r="DBI36" s="27"/>
      <c r="DBJ36" s="27"/>
      <c r="DBK36" s="27"/>
      <c r="DBL36" s="27"/>
      <c r="DBM36" s="27"/>
      <c r="DBN36" s="27"/>
      <c r="DBO36" s="27"/>
      <c r="DBP36" s="27"/>
      <c r="DBQ36" s="27"/>
      <c r="DBR36" s="27"/>
      <c r="DBS36" s="27"/>
      <c r="DBT36" s="27"/>
      <c r="DBU36" s="27"/>
      <c r="DBV36" s="27"/>
      <c r="DBW36" s="27"/>
      <c r="DBX36" s="27"/>
      <c r="DBY36" s="27"/>
      <c r="DBZ36" s="27"/>
      <c r="DCA36" s="27"/>
      <c r="DCB36" s="27"/>
      <c r="DCC36" s="27"/>
      <c r="DCD36" s="27"/>
      <c r="DCE36" s="27"/>
      <c r="DCF36" s="27"/>
      <c r="DCG36" s="27"/>
      <c r="DCH36" s="27"/>
      <c r="DCI36" s="27"/>
      <c r="DCJ36" s="27"/>
      <c r="DCK36" s="27"/>
      <c r="DCL36" s="27"/>
      <c r="DCM36" s="27"/>
      <c r="DCN36" s="27"/>
      <c r="DCO36" s="27"/>
      <c r="DCP36" s="27"/>
      <c r="DCQ36" s="27"/>
      <c r="DCR36" s="27"/>
      <c r="DCS36" s="27"/>
      <c r="DCT36" s="27"/>
      <c r="DCU36" s="27"/>
      <c r="DCV36" s="27"/>
      <c r="DCW36" s="27"/>
      <c r="DCX36" s="27"/>
      <c r="DCY36" s="27"/>
      <c r="DCZ36" s="27"/>
      <c r="DDA36" s="27"/>
      <c r="DDB36" s="27"/>
      <c r="DDC36" s="27"/>
      <c r="DDD36" s="27"/>
      <c r="DDE36" s="27"/>
      <c r="DDF36" s="27"/>
      <c r="DDG36" s="27"/>
      <c r="DDH36" s="27"/>
      <c r="DDI36" s="27"/>
      <c r="DDJ36" s="27"/>
      <c r="DDK36" s="27"/>
      <c r="DDL36" s="27"/>
      <c r="DDM36" s="27"/>
      <c r="DDN36" s="27"/>
      <c r="DDO36" s="27"/>
      <c r="DDP36" s="27"/>
      <c r="DDQ36" s="27"/>
      <c r="DDR36" s="27"/>
      <c r="DDS36" s="27"/>
      <c r="DDT36" s="27"/>
      <c r="DDU36" s="27"/>
      <c r="DDV36" s="27"/>
      <c r="DDW36" s="27"/>
      <c r="DDX36" s="27"/>
      <c r="DDY36" s="27"/>
      <c r="DDZ36" s="27"/>
      <c r="DEA36" s="27"/>
      <c r="DEB36" s="27"/>
      <c r="DEC36" s="27"/>
      <c r="DED36" s="27"/>
      <c r="DEE36" s="27"/>
      <c r="DEF36" s="27"/>
      <c r="DEG36" s="27"/>
      <c r="DEH36" s="27"/>
      <c r="DEI36" s="27"/>
      <c r="DEJ36" s="27"/>
      <c r="DEK36" s="27"/>
      <c r="DEL36" s="27"/>
      <c r="DEM36" s="27"/>
      <c r="DEN36" s="27"/>
      <c r="DEO36" s="27"/>
      <c r="DEP36" s="27"/>
      <c r="DEQ36" s="27"/>
      <c r="DER36" s="27"/>
      <c r="DES36" s="27"/>
      <c r="DET36" s="27"/>
      <c r="DEU36" s="27"/>
      <c r="DEV36" s="27"/>
      <c r="DEW36" s="27"/>
      <c r="DEX36" s="27"/>
      <c r="DEY36" s="27"/>
      <c r="DEZ36" s="27"/>
      <c r="DFA36" s="27"/>
      <c r="DFB36" s="27"/>
      <c r="DFC36" s="27"/>
      <c r="DFD36" s="27"/>
      <c r="DFE36" s="27"/>
      <c r="DFF36" s="27"/>
      <c r="DFG36" s="27"/>
      <c r="DFH36" s="27"/>
      <c r="DFI36" s="27"/>
      <c r="DFJ36" s="27"/>
      <c r="DFK36" s="27"/>
      <c r="DFL36" s="27"/>
      <c r="DFM36" s="27"/>
      <c r="DFN36" s="27"/>
      <c r="DFO36" s="27"/>
      <c r="DFP36" s="27"/>
      <c r="DFQ36" s="27"/>
      <c r="DFR36" s="27"/>
      <c r="DFS36" s="27"/>
      <c r="DFT36" s="27"/>
      <c r="DFU36" s="27"/>
      <c r="DFV36" s="27"/>
      <c r="DFW36" s="27"/>
      <c r="DFX36" s="27"/>
      <c r="DFY36" s="27"/>
      <c r="DFZ36" s="27"/>
      <c r="DGA36" s="27"/>
      <c r="DGB36" s="27"/>
      <c r="DGC36" s="27"/>
      <c r="DGD36" s="27"/>
      <c r="DGE36" s="27"/>
      <c r="DGF36" s="27"/>
      <c r="DGG36" s="27"/>
      <c r="DGH36" s="27"/>
      <c r="DGI36" s="27"/>
      <c r="DGJ36" s="27"/>
      <c r="DGK36" s="27"/>
      <c r="DGL36" s="27"/>
      <c r="DGM36" s="27"/>
      <c r="DGN36" s="27"/>
      <c r="DGO36" s="27"/>
      <c r="DGP36" s="27"/>
      <c r="DGQ36" s="27"/>
      <c r="DGR36" s="27"/>
      <c r="DGS36" s="27"/>
      <c r="DGT36" s="27"/>
      <c r="DGU36" s="27"/>
      <c r="DGV36" s="27"/>
      <c r="DGW36" s="27"/>
      <c r="DGX36" s="27"/>
      <c r="DGY36" s="27"/>
      <c r="DGZ36" s="27"/>
      <c r="DHA36" s="27"/>
      <c r="DHB36" s="27"/>
      <c r="DHC36" s="27"/>
      <c r="DHD36" s="27"/>
      <c r="DHE36" s="27"/>
      <c r="DHF36" s="27"/>
      <c r="DHG36" s="27"/>
      <c r="DHH36" s="27"/>
      <c r="DHI36" s="27"/>
      <c r="DHJ36" s="27"/>
      <c r="DHK36" s="27"/>
      <c r="DHL36" s="27"/>
      <c r="DHM36" s="27"/>
      <c r="DHN36" s="27"/>
      <c r="DHO36" s="27"/>
      <c r="DHP36" s="27"/>
      <c r="DHQ36" s="27"/>
      <c r="DHR36" s="27"/>
      <c r="DHS36" s="27"/>
      <c r="DHT36" s="27"/>
      <c r="DHU36" s="27"/>
      <c r="DHV36" s="27"/>
    </row>
    <row r="37" spans="1:2934" x14ac:dyDescent="0.4">
      <c r="C37" s="49"/>
      <c r="D37" s="93"/>
      <c r="E37" s="93"/>
      <c r="F37" s="94"/>
      <c r="G37" s="94"/>
      <c r="H37" s="94"/>
      <c r="I37" s="94"/>
      <c r="J37" s="94"/>
      <c r="K37" s="93"/>
      <c r="L37" s="93"/>
      <c r="M37" s="94"/>
      <c r="N37" s="95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</row>
    <row r="38" spans="1:2934" x14ac:dyDescent="0.4">
      <c r="C38" s="49"/>
      <c r="D38" s="93"/>
      <c r="E38" s="93"/>
      <c r="F38" s="94"/>
      <c r="G38" s="94"/>
      <c r="H38" s="94"/>
      <c r="I38" s="94"/>
      <c r="J38" s="94"/>
      <c r="K38" s="93"/>
      <c r="L38" s="93"/>
      <c r="M38" s="94"/>
      <c r="N38" s="95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</row>
    <row r="39" spans="1:2934" x14ac:dyDescent="0.4">
      <c r="C39" s="49"/>
      <c r="D39" s="93"/>
      <c r="E39" s="93"/>
      <c r="F39" s="94"/>
      <c r="G39" s="94"/>
      <c r="H39" s="94"/>
      <c r="I39" s="94"/>
      <c r="J39" s="94"/>
      <c r="K39" s="93"/>
      <c r="L39" s="93"/>
      <c r="M39" s="94"/>
      <c r="N39" s="95"/>
      <c r="O39" s="93"/>
      <c r="P39" s="93"/>
      <c r="Q39" s="107">
        <f>C36-AK36</f>
        <v>697</v>
      </c>
      <c r="R39" s="107"/>
      <c r="S39" s="107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</row>
    <row r="40" spans="1:2934" x14ac:dyDescent="0.4">
      <c r="C40" s="49"/>
      <c r="D40" s="93"/>
      <c r="E40" s="93"/>
      <c r="F40" s="94"/>
      <c r="G40" s="94"/>
      <c r="H40" s="94"/>
      <c r="I40" s="94"/>
      <c r="J40" s="94"/>
      <c r="K40" s="93"/>
      <c r="L40" s="93"/>
      <c r="M40" s="94"/>
      <c r="N40" s="95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93"/>
    </row>
    <row r="41" spans="1:2934" x14ac:dyDescent="0.4">
      <c r="C41" s="49"/>
      <c r="D41" s="93"/>
      <c r="E41" s="93"/>
      <c r="F41" s="94"/>
      <c r="G41" s="94"/>
      <c r="H41" s="94"/>
      <c r="I41" s="94"/>
      <c r="J41" s="94"/>
      <c r="K41" s="93"/>
      <c r="L41" s="93"/>
      <c r="M41" s="94"/>
      <c r="N41" s="95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</row>
    <row r="42" spans="1:2934" x14ac:dyDescent="0.4">
      <c r="C42" s="49"/>
      <c r="D42" s="93"/>
      <c r="E42" s="93"/>
      <c r="F42" s="94"/>
      <c r="G42" s="94"/>
      <c r="H42" s="94"/>
      <c r="I42" s="94"/>
      <c r="J42" s="94"/>
      <c r="K42" s="93"/>
      <c r="L42" s="93"/>
      <c r="M42" s="94"/>
      <c r="N42" s="95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</row>
    <row r="43" spans="1:2934" x14ac:dyDescent="0.4">
      <c r="C43" s="49"/>
      <c r="D43" s="93"/>
      <c r="E43" s="93"/>
      <c r="F43" s="94"/>
      <c r="G43" s="94"/>
      <c r="H43" s="94"/>
      <c r="I43" s="94"/>
      <c r="J43" s="94"/>
      <c r="K43" s="93"/>
      <c r="L43" s="93"/>
      <c r="M43" s="94"/>
      <c r="N43" s="95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</row>
    <row r="44" spans="1:2934" x14ac:dyDescent="0.4">
      <c r="C44" s="49"/>
      <c r="D44" s="93"/>
      <c r="E44" s="93"/>
      <c r="F44" s="94"/>
      <c r="G44" s="94"/>
      <c r="H44" s="94"/>
      <c r="I44" s="94"/>
      <c r="J44" s="94"/>
      <c r="K44" s="93"/>
      <c r="L44" s="93"/>
      <c r="M44" s="94"/>
      <c r="N44" s="95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</row>
    <row r="45" spans="1:2934" x14ac:dyDescent="0.4">
      <c r="C45" s="49"/>
      <c r="D45" s="93"/>
      <c r="E45" s="93"/>
      <c r="F45" s="94"/>
      <c r="G45" s="94"/>
      <c r="H45" s="94"/>
      <c r="I45" s="94"/>
      <c r="J45" s="94"/>
      <c r="K45" s="93"/>
      <c r="L45" s="93"/>
      <c r="M45" s="94"/>
      <c r="N45" s="95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</row>
    <row r="46" spans="1:2934" x14ac:dyDescent="0.4">
      <c r="C46" s="49"/>
      <c r="D46" s="93"/>
      <c r="E46" s="93"/>
      <c r="F46" s="94"/>
      <c r="G46" s="94"/>
      <c r="H46" s="94"/>
      <c r="I46" s="94"/>
      <c r="J46" s="94"/>
      <c r="K46" s="93"/>
      <c r="L46" s="93"/>
      <c r="M46" s="94"/>
      <c r="N46" s="95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</row>
    <row r="47" spans="1:2934" x14ac:dyDescent="0.4">
      <c r="C47" s="49"/>
      <c r="D47" s="93"/>
      <c r="E47" s="93"/>
      <c r="F47" s="94"/>
      <c r="G47" s="94"/>
      <c r="H47" s="94"/>
      <c r="I47" s="94"/>
      <c r="J47" s="94"/>
      <c r="K47" s="93"/>
      <c r="L47" s="93"/>
      <c r="M47" s="94"/>
      <c r="N47" s="95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/>
      <c r="AE47" s="93"/>
      <c r="AF47" s="93"/>
      <c r="AG47" s="93"/>
      <c r="AH47" s="93"/>
    </row>
    <row r="48" spans="1:2934" x14ac:dyDescent="0.4">
      <c r="C48" s="49"/>
      <c r="D48" s="93"/>
      <c r="E48" s="93"/>
      <c r="F48" s="94"/>
      <c r="G48" s="94"/>
      <c r="H48" s="94"/>
      <c r="I48" s="94"/>
      <c r="J48" s="94"/>
      <c r="K48" s="93"/>
      <c r="L48" s="93"/>
      <c r="M48" s="94"/>
      <c r="N48" s="95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</row>
    <row r="49" spans="3:34" x14ac:dyDescent="0.4">
      <c r="C49" s="49"/>
      <c r="D49" s="93"/>
      <c r="E49" s="93"/>
      <c r="F49" s="94"/>
      <c r="G49" s="94"/>
      <c r="H49" s="94"/>
      <c r="I49" s="94"/>
      <c r="J49" s="94"/>
      <c r="K49" s="93"/>
      <c r="L49" s="93"/>
      <c r="M49" s="94"/>
      <c r="N49" s="95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</row>
    <row r="50" spans="3:34" x14ac:dyDescent="0.4">
      <c r="C50" s="49"/>
      <c r="D50" s="93"/>
      <c r="E50" s="93"/>
      <c r="F50" s="94"/>
      <c r="G50" s="94"/>
      <c r="H50" s="94"/>
      <c r="I50" s="94"/>
      <c r="J50" s="94"/>
      <c r="K50" s="93"/>
      <c r="L50" s="93"/>
      <c r="M50" s="94"/>
      <c r="N50" s="95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</row>
    <row r="51" spans="3:34" x14ac:dyDescent="0.4">
      <c r="C51" s="49"/>
      <c r="D51" s="93"/>
      <c r="E51" s="93"/>
      <c r="F51" s="94"/>
      <c r="G51" s="94"/>
      <c r="H51" s="94"/>
      <c r="I51" s="94"/>
      <c r="J51" s="94"/>
      <c r="K51" s="93"/>
      <c r="L51" s="93"/>
      <c r="M51" s="94"/>
      <c r="N51" s="95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</row>
    <row r="52" spans="3:34" x14ac:dyDescent="0.4">
      <c r="C52" s="49"/>
      <c r="D52" s="93"/>
      <c r="E52" s="93"/>
      <c r="F52" s="94"/>
      <c r="G52" s="94"/>
      <c r="H52" s="94"/>
      <c r="I52" s="94"/>
      <c r="J52" s="94"/>
      <c r="K52" s="93"/>
      <c r="L52" s="93"/>
      <c r="M52" s="94"/>
      <c r="N52" s="95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93"/>
      <c r="AD52" s="93"/>
      <c r="AE52" s="93"/>
      <c r="AF52" s="93"/>
      <c r="AG52" s="93"/>
      <c r="AH52" s="93"/>
    </row>
    <row r="53" spans="3:34" x14ac:dyDescent="0.4">
      <c r="C53" s="49"/>
      <c r="D53" s="93"/>
      <c r="E53" s="93"/>
      <c r="F53" s="94"/>
      <c r="G53" s="94"/>
      <c r="H53" s="94"/>
      <c r="I53" s="94"/>
      <c r="J53" s="94"/>
      <c r="K53" s="93"/>
      <c r="L53" s="93"/>
      <c r="M53" s="94"/>
      <c r="N53" s="95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93"/>
      <c r="AD53" s="93"/>
      <c r="AE53" s="93"/>
      <c r="AF53" s="93"/>
      <c r="AG53" s="93"/>
      <c r="AH53" s="93"/>
    </row>
    <row r="54" spans="3:34" x14ac:dyDescent="0.4">
      <c r="C54" s="49"/>
      <c r="D54" s="93"/>
      <c r="E54" s="93"/>
      <c r="F54" s="94"/>
      <c r="G54" s="94"/>
      <c r="H54" s="94"/>
      <c r="I54" s="94"/>
      <c r="J54" s="94"/>
      <c r="K54" s="93"/>
      <c r="L54" s="93"/>
      <c r="M54" s="94"/>
      <c r="N54" s="95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93"/>
      <c r="AD54" s="93"/>
      <c r="AE54" s="93"/>
      <c r="AF54" s="93"/>
      <c r="AG54" s="93"/>
      <c r="AH54" s="93"/>
    </row>
    <row r="55" spans="3:34" x14ac:dyDescent="0.4">
      <c r="C55" s="49"/>
      <c r="D55" s="93"/>
      <c r="E55" s="93"/>
      <c r="F55" s="94"/>
      <c r="G55" s="94"/>
      <c r="H55" s="94"/>
      <c r="I55" s="94"/>
      <c r="J55" s="94"/>
      <c r="K55" s="93"/>
      <c r="L55" s="93"/>
      <c r="M55" s="94"/>
      <c r="N55" s="95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/>
      <c r="AE55" s="93"/>
      <c r="AF55" s="93"/>
      <c r="AG55" s="93"/>
      <c r="AH55" s="93"/>
    </row>
    <row r="56" spans="3:34" x14ac:dyDescent="0.4">
      <c r="C56" s="49"/>
      <c r="D56" s="93"/>
      <c r="E56" s="93"/>
      <c r="F56" s="94"/>
      <c r="G56" s="94"/>
      <c r="H56" s="94"/>
      <c r="I56" s="94"/>
      <c r="J56" s="94"/>
      <c r="K56" s="93"/>
      <c r="L56" s="93"/>
      <c r="M56" s="94"/>
      <c r="N56" s="95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93"/>
      <c r="AD56" s="93"/>
      <c r="AE56" s="93"/>
      <c r="AF56" s="93"/>
      <c r="AG56" s="93"/>
      <c r="AH56" s="93"/>
    </row>
    <row r="57" spans="3:34" x14ac:dyDescent="0.4">
      <c r="C57" s="49"/>
      <c r="D57" s="93"/>
      <c r="E57" s="93"/>
      <c r="F57" s="94"/>
      <c r="G57" s="94"/>
      <c r="H57" s="94"/>
      <c r="I57" s="94"/>
      <c r="J57" s="94"/>
      <c r="K57" s="93"/>
      <c r="L57" s="93"/>
      <c r="M57" s="94"/>
      <c r="N57" s="95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/>
      <c r="AE57" s="93"/>
      <c r="AF57" s="93"/>
      <c r="AG57" s="93"/>
      <c r="AH57" s="93"/>
    </row>
    <row r="58" spans="3:34" x14ac:dyDescent="0.4">
      <c r="C58" s="49"/>
      <c r="D58" s="93"/>
      <c r="E58" s="93"/>
      <c r="F58" s="94"/>
      <c r="G58" s="94"/>
      <c r="H58" s="94"/>
      <c r="I58" s="94"/>
      <c r="J58" s="94"/>
      <c r="K58" s="93"/>
      <c r="L58" s="93"/>
      <c r="M58" s="94"/>
      <c r="N58" s="95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  <c r="AA58" s="93"/>
      <c r="AB58" s="93"/>
      <c r="AC58" s="93"/>
      <c r="AD58" s="93"/>
      <c r="AE58" s="93"/>
      <c r="AF58" s="93"/>
      <c r="AG58" s="93"/>
      <c r="AH58" s="93"/>
    </row>
    <row r="59" spans="3:34" x14ac:dyDescent="0.4">
      <c r="C59" s="49"/>
      <c r="D59" s="93"/>
      <c r="E59" s="93"/>
      <c r="F59" s="94"/>
      <c r="G59" s="94"/>
      <c r="H59" s="94"/>
      <c r="I59" s="94"/>
      <c r="J59" s="94"/>
      <c r="K59" s="93"/>
      <c r="L59" s="93"/>
      <c r="M59" s="94"/>
      <c r="N59" s="95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/>
      <c r="AE59" s="93"/>
      <c r="AF59" s="93"/>
      <c r="AG59" s="93"/>
      <c r="AH59" s="93"/>
    </row>
    <row r="60" spans="3:34" x14ac:dyDescent="0.4">
      <c r="C60" s="49"/>
      <c r="D60" s="93"/>
      <c r="E60" s="93"/>
      <c r="F60" s="94"/>
      <c r="G60" s="94"/>
      <c r="H60" s="94"/>
      <c r="I60" s="94"/>
      <c r="J60" s="94"/>
      <c r="K60" s="93"/>
      <c r="L60" s="93"/>
      <c r="M60" s="94"/>
      <c r="N60" s="95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  <c r="AA60" s="93"/>
      <c r="AB60" s="93"/>
      <c r="AC60" s="93"/>
      <c r="AD60" s="93"/>
      <c r="AE60" s="93"/>
      <c r="AF60" s="93"/>
      <c r="AG60" s="93"/>
      <c r="AH60" s="93"/>
    </row>
    <row r="61" spans="3:34" x14ac:dyDescent="0.4">
      <c r="C61" s="49"/>
      <c r="D61" s="93"/>
      <c r="E61" s="93"/>
      <c r="F61" s="94"/>
      <c r="G61" s="94"/>
      <c r="H61" s="94"/>
      <c r="I61" s="94"/>
      <c r="J61" s="94"/>
      <c r="K61" s="93"/>
      <c r="L61" s="93"/>
      <c r="M61" s="94"/>
      <c r="N61" s="95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/>
      <c r="AE61" s="93"/>
      <c r="AF61" s="93"/>
      <c r="AG61" s="93"/>
      <c r="AH61" s="93"/>
    </row>
    <row r="62" spans="3:34" x14ac:dyDescent="0.4">
      <c r="C62" s="49"/>
      <c r="D62" s="93"/>
      <c r="E62" s="93"/>
      <c r="F62" s="94"/>
      <c r="G62" s="94"/>
      <c r="H62" s="94"/>
      <c r="I62" s="94"/>
      <c r="J62" s="94"/>
      <c r="K62" s="93"/>
      <c r="L62" s="93"/>
      <c r="M62" s="94"/>
      <c r="N62" s="95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  <c r="AA62" s="93"/>
      <c r="AB62" s="93"/>
      <c r="AC62" s="93"/>
      <c r="AD62" s="93"/>
      <c r="AE62" s="93"/>
      <c r="AF62" s="93"/>
      <c r="AG62" s="93"/>
      <c r="AH62" s="93"/>
    </row>
    <row r="63" spans="3:34" x14ac:dyDescent="0.4">
      <c r="C63" s="49"/>
      <c r="D63" s="93"/>
      <c r="E63" s="93"/>
      <c r="F63" s="94"/>
      <c r="G63" s="94"/>
      <c r="H63" s="94"/>
      <c r="I63" s="94"/>
      <c r="J63" s="94"/>
      <c r="K63" s="93"/>
      <c r="L63" s="93"/>
      <c r="M63" s="94"/>
      <c r="N63" s="95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/>
      <c r="AE63" s="93"/>
      <c r="AF63" s="93"/>
      <c r="AG63" s="93"/>
      <c r="AH63" s="93"/>
    </row>
    <row r="64" spans="3:34" x14ac:dyDescent="0.4">
      <c r="C64" s="49"/>
      <c r="D64" s="93"/>
      <c r="E64" s="93"/>
      <c r="F64" s="94"/>
      <c r="G64" s="94"/>
      <c r="H64" s="94"/>
      <c r="I64" s="94"/>
      <c r="J64" s="94"/>
      <c r="K64" s="93"/>
      <c r="L64" s="93"/>
      <c r="M64" s="94"/>
      <c r="N64" s="95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  <c r="AA64" s="93"/>
      <c r="AB64" s="93"/>
      <c r="AC64" s="93"/>
      <c r="AD64" s="93"/>
      <c r="AE64" s="93"/>
      <c r="AF64" s="93"/>
      <c r="AG64" s="93"/>
      <c r="AH64" s="93"/>
    </row>
    <row r="65" spans="3:34" x14ac:dyDescent="0.4">
      <c r="C65" s="49"/>
      <c r="D65" s="93"/>
      <c r="E65" s="93"/>
      <c r="F65" s="94"/>
      <c r="G65" s="94"/>
      <c r="H65" s="94"/>
      <c r="I65" s="94"/>
      <c r="J65" s="94"/>
      <c r="K65" s="93"/>
      <c r="L65" s="93"/>
      <c r="M65" s="94"/>
      <c r="N65" s="95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/>
      <c r="AE65" s="93"/>
      <c r="AF65" s="93"/>
      <c r="AG65" s="93"/>
      <c r="AH65" s="93"/>
    </row>
    <row r="66" spans="3:34" x14ac:dyDescent="0.4">
      <c r="C66" s="49"/>
      <c r="D66" s="93"/>
      <c r="E66" s="93"/>
      <c r="F66" s="94"/>
      <c r="G66" s="94"/>
      <c r="H66" s="94"/>
      <c r="I66" s="94"/>
      <c r="J66" s="94"/>
      <c r="K66" s="93"/>
      <c r="L66" s="93"/>
      <c r="M66" s="94"/>
      <c r="N66" s="95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93"/>
      <c r="AD66" s="93"/>
      <c r="AE66" s="93"/>
      <c r="AF66" s="93"/>
      <c r="AG66" s="93"/>
      <c r="AH66" s="93"/>
    </row>
    <row r="67" spans="3:34" x14ac:dyDescent="0.4">
      <c r="C67" s="49"/>
      <c r="D67" s="93"/>
      <c r="E67" s="93"/>
      <c r="F67" s="94"/>
      <c r="G67" s="94"/>
      <c r="H67" s="94"/>
      <c r="I67" s="94"/>
      <c r="J67" s="94"/>
      <c r="K67" s="93"/>
      <c r="L67" s="93"/>
      <c r="M67" s="94"/>
      <c r="N67" s="95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/>
      <c r="AE67" s="93"/>
      <c r="AF67" s="93"/>
      <c r="AG67" s="93"/>
      <c r="AH67" s="93"/>
    </row>
    <row r="68" spans="3:34" x14ac:dyDescent="0.4">
      <c r="C68" s="49"/>
      <c r="D68" s="93"/>
      <c r="E68" s="93"/>
      <c r="F68" s="94"/>
      <c r="G68" s="94"/>
      <c r="H68" s="94"/>
      <c r="I68" s="94"/>
      <c r="J68" s="94"/>
      <c r="K68" s="93"/>
      <c r="L68" s="93"/>
      <c r="M68" s="94"/>
      <c r="N68" s="95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  <c r="AA68" s="93"/>
      <c r="AB68" s="93"/>
      <c r="AC68" s="93"/>
      <c r="AD68" s="93"/>
      <c r="AE68" s="93"/>
      <c r="AF68" s="93"/>
      <c r="AG68" s="93"/>
      <c r="AH68" s="93"/>
    </row>
    <row r="69" spans="3:34" x14ac:dyDescent="0.4">
      <c r="C69" s="49"/>
      <c r="D69" s="93"/>
      <c r="E69" s="93"/>
      <c r="F69" s="94"/>
      <c r="G69" s="94"/>
      <c r="H69" s="94"/>
      <c r="I69" s="94"/>
      <c r="J69" s="94"/>
      <c r="K69" s="93"/>
      <c r="L69" s="93"/>
      <c r="M69" s="94"/>
      <c r="N69" s="95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/>
      <c r="AE69" s="93"/>
      <c r="AF69" s="93"/>
      <c r="AG69" s="93"/>
      <c r="AH69" s="93"/>
    </row>
    <row r="70" spans="3:34" x14ac:dyDescent="0.4">
      <c r="C70" s="49"/>
      <c r="D70" s="93"/>
      <c r="E70" s="93"/>
      <c r="F70" s="94"/>
      <c r="G70" s="94"/>
      <c r="H70" s="94"/>
      <c r="I70" s="94"/>
      <c r="J70" s="94"/>
      <c r="K70" s="93"/>
      <c r="L70" s="93"/>
      <c r="M70" s="94"/>
      <c r="N70" s="95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  <c r="AB70" s="93"/>
      <c r="AC70" s="93"/>
      <c r="AD70" s="93"/>
      <c r="AE70" s="93"/>
      <c r="AF70" s="93"/>
      <c r="AG70" s="93"/>
      <c r="AH70" s="93"/>
    </row>
    <row r="71" spans="3:34" x14ac:dyDescent="0.4">
      <c r="C71" s="49"/>
      <c r="D71" s="93"/>
      <c r="E71" s="93"/>
      <c r="F71" s="94"/>
      <c r="G71" s="94"/>
      <c r="H71" s="94"/>
      <c r="I71" s="94"/>
      <c r="J71" s="94"/>
      <c r="K71" s="93"/>
      <c r="L71" s="93"/>
      <c r="M71" s="94"/>
      <c r="N71" s="95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93"/>
      <c r="AD71" s="93"/>
      <c r="AE71" s="93"/>
      <c r="AF71" s="93"/>
      <c r="AG71" s="93"/>
      <c r="AH71" s="93"/>
    </row>
    <row r="72" spans="3:34" x14ac:dyDescent="0.4">
      <c r="C72" s="49"/>
      <c r="D72" s="93"/>
      <c r="E72" s="93"/>
      <c r="F72" s="94"/>
      <c r="G72" s="94"/>
      <c r="H72" s="94"/>
      <c r="I72" s="94"/>
      <c r="J72" s="94"/>
      <c r="K72" s="93"/>
      <c r="L72" s="93"/>
      <c r="M72" s="94"/>
      <c r="N72" s="95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  <c r="AA72" s="93"/>
      <c r="AB72" s="93"/>
      <c r="AC72" s="93"/>
      <c r="AD72" s="93"/>
      <c r="AE72" s="93"/>
      <c r="AF72" s="93"/>
      <c r="AG72" s="93"/>
      <c r="AH72" s="93"/>
    </row>
    <row r="73" spans="3:34" x14ac:dyDescent="0.4">
      <c r="C73" s="49"/>
      <c r="D73" s="93"/>
      <c r="E73" s="93"/>
      <c r="F73" s="94"/>
      <c r="G73" s="94"/>
      <c r="H73" s="94"/>
      <c r="I73" s="94"/>
      <c r="J73" s="94"/>
      <c r="K73" s="93"/>
      <c r="L73" s="93"/>
      <c r="M73" s="94"/>
      <c r="N73" s="95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/>
      <c r="AE73" s="93"/>
      <c r="AF73" s="93"/>
      <c r="AG73" s="93"/>
      <c r="AH73" s="93"/>
    </row>
    <row r="74" spans="3:34" x14ac:dyDescent="0.4">
      <c r="C74" s="49"/>
      <c r="D74" s="93"/>
      <c r="E74" s="93"/>
      <c r="F74" s="94"/>
      <c r="G74" s="94"/>
      <c r="H74" s="94"/>
      <c r="I74" s="94"/>
      <c r="J74" s="94"/>
      <c r="K74" s="93"/>
      <c r="L74" s="93"/>
      <c r="M74" s="94"/>
      <c r="N74" s="95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  <c r="AA74" s="93"/>
      <c r="AB74" s="93"/>
      <c r="AC74" s="93"/>
      <c r="AD74" s="93"/>
      <c r="AE74" s="93"/>
      <c r="AF74" s="93"/>
      <c r="AG74" s="93"/>
      <c r="AH74" s="93"/>
    </row>
    <row r="75" spans="3:34" x14ac:dyDescent="0.4">
      <c r="C75" s="49"/>
      <c r="D75" s="93"/>
      <c r="E75" s="93"/>
      <c r="F75" s="94"/>
      <c r="G75" s="94"/>
      <c r="H75" s="94"/>
      <c r="I75" s="94"/>
      <c r="J75" s="94"/>
      <c r="K75" s="93"/>
      <c r="L75" s="93"/>
      <c r="M75" s="94"/>
      <c r="N75" s="95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/>
      <c r="AE75" s="93"/>
      <c r="AF75" s="93"/>
      <c r="AG75" s="93"/>
      <c r="AH75" s="93"/>
    </row>
    <row r="76" spans="3:34" x14ac:dyDescent="0.4">
      <c r="C76" s="49"/>
      <c r="D76" s="93"/>
      <c r="E76" s="93"/>
      <c r="F76" s="94"/>
      <c r="G76" s="94"/>
      <c r="H76" s="94"/>
      <c r="I76" s="94"/>
      <c r="J76" s="94"/>
      <c r="K76" s="93"/>
      <c r="L76" s="93"/>
      <c r="M76" s="94"/>
      <c r="N76" s="95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  <c r="AA76" s="93"/>
      <c r="AB76" s="93"/>
      <c r="AC76" s="93"/>
      <c r="AD76" s="93"/>
      <c r="AE76" s="93"/>
      <c r="AF76" s="93"/>
      <c r="AG76" s="93"/>
      <c r="AH76" s="93"/>
    </row>
    <row r="77" spans="3:34" x14ac:dyDescent="0.4">
      <c r="C77" s="49"/>
      <c r="D77" s="93"/>
      <c r="E77" s="93"/>
      <c r="F77" s="94"/>
      <c r="G77" s="94"/>
      <c r="H77" s="94"/>
      <c r="I77" s="94"/>
      <c r="J77" s="94"/>
      <c r="K77" s="93"/>
      <c r="L77" s="93"/>
      <c r="M77" s="94"/>
      <c r="N77" s="95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  <c r="AB77" s="93"/>
      <c r="AC77" s="93"/>
      <c r="AD77" s="93"/>
      <c r="AE77" s="93"/>
      <c r="AF77" s="93"/>
      <c r="AG77" s="93"/>
      <c r="AH77" s="93"/>
    </row>
    <row r="78" spans="3:34" x14ac:dyDescent="0.4">
      <c r="C78" s="49"/>
      <c r="D78" s="93"/>
      <c r="E78" s="93"/>
      <c r="F78" s="94"/>
      <c r="G78" s="94"/>
      <c r="H78" s="94"/>
      <c r="I78" s="94"/>
      <c r="J78" s="94"/>
      <c r="K78" s="93"/>
      <c r="L78" s="93"/>
      <c r="M78" s="94"/>
      <c r="N78" s="95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  <c r="AA78" s="93"/>
      <c r="AB78" s="93"/>
      <c r="AC78" s="93"/>
      <c r="AD78" s="93"/>
      <c r="AE78" s="93"/>
      <c r="AF78" s="93"/>
      <c r="AG78" s="93"/>
      <c r="AH78" s="93"/>
    </row>
    <row r="79" spans="3:34" x14ac:dyDescent="0.4">
      <c r="C79" s="49"/>
      <c r="D79" s="93"/>
      <c r="E79" s="93"/>
      <c r="F79" s="94"/>
      <c r="G79" s="94"/>
      <c r="H79" s="94"/>
      <c r="I79" s="94"/>
      <c r="J79" s="94"/>
      <c r="K79" s="93"/>
      <c r="L79" s="93"/>
      <c r="M79" s="94"/>
      <c r="N79" s="95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  <c r="AA79" s="93"/>
      <c r="AB79" s="93"/>
      <c r="AC79" s="93"/>
      <c r="AD79" s="93"/>
      <c r="AE79" s="93"/>
      <c r="AF79" s="93"/>
      <c r="AG79" s="93"/>
      <c r="AH79" s="93"/>
    </row>
    <row r="80" spans="3:34" x14ac:dyDescent="0.4">
      <c r="C80" s="49"/>
      <c r="D80" s="93"/>
      <c r="E80" s="93"/>
      <c r="F80" s="94"/>
      <c r="G80" s="94"/>
      <c r="H80" s="94"/>
      <c r="I80" s="94"/>
      <c r="J80" s="94"/>
      <c r="K80" s="93"/>
      <c r="L80" s="93"/>
      <c r="M80" s="94"/>
      <c r="N80" s="95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  <c r="AA80" s="93"/>
      <c r="AB80" s="93"/>
      <c r="AC80" s="93"/>
      <c r="AD80" s="93"/>
      <c r="AE80" s="93"/>
      <c r="AF80" s="93"/>
      <c r="AG80" s="93"/>
      <c r="AH80" s="93"/>
    </row>
    <row r="81" spans="3:34" x14ac:dyDescent="0.4">
      <c r="C81" s="49"/>
      <c r="D81" s="93"/>
      <c r="E81" s="93"/>
      <c r="F81" s="94"/>
      <c r="G81" s="94"/>
      <c r="H81" s="94"/>
      <c r="I81" s="94"/>
      <c r="J81" s="94"/>
      <c r="K81" s="93"/>
      <c r="L81" s="93"/>
      <c r="M81" s="94"/>
      <c r="N81" s="95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/>
      <c r="AE81" s="93"/>
      <c r="AF81" s="93"/>
      <c r="AG81" s="93"/>
      <c r="AH81" s="93"/>
    </row>
    <row r="82" spans="3:34" x14ac:dyDescent="0.4">
      <c r="C82" s="49"/>
      <c r="D82" s="93"/>
      <c r="E82" s="93"/>
      <c r="F82" s="94"/>
      <c r="G82" s="94"/>
      <c r="H82" s="94"/>
      <c r="I82" s="94"/>
      <c r="J82" s="94"/>
      <c r="K82" s="93"/>
      <c r="L82" s="93"/>
      <c r="M82" s="94"/>
      <c r="N82" s="95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  <c r="AA82" s="93"/>
      <c r="AB82" s="93"/>
      <c r="AC82" s="93"/>
      <c r="AD82" s="93"/>
      <c r="AE82" s="93"/>
      <c r="AF82" s="93"/>
      <c r="AG82" s="93"/>
      <c r="AH82" s="93"/>
    </row>
    <row r="83" spans="3:34" x14ac:dyDescent="0.4">
      <c r="C83" s="49"/>
      <c r="D83" s="93"/>
      <c r="E83" s="93"/>
      <c r="F83" s="94"/>
      <c r="G83" s="94"/>
      <c r="H83" s="94"/>
      <c r="I83" s="94"/>
      <c r="J83" s="94"/>
      <c r="K83" s="93"/>
      <c r="L83" s="93"/>
      <c r="M83" s="94"/>
      <c r="N83" s="95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/>
      <c r="AE83" s="93"/>
      <c r="AF83" s="93"/>
      <c r="AG83" s="93"/>
      <c r="AH83" s="93"/>
    </row>
    <row r="84" spans="3:34" x14ac:dyDescent="0.4">
      <c r="C84" s="49"/>
      <c r="D84" s="93"/>
      <c r="E84" s="93"/>
      <c r="F84" s="94"/>
      <c r="G84" s="94"/>
      <c r="H84" s="94"/>
      <c r="I84" s="94"/>
      <c r="J84" s="94"/>
      <c r="K84" s="93"/>
      <c r="L84" s="93"/>
      <c r="M84" s="94"/>
      <c r="N84" s="95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  <c r="AB84" s="93"/>
      <c r="AC84" s="93"/>
      <c r="AD84" s="93"/>
      <c r="AE84" s="93"/>
      <c r="AF84" s="93"/>
      <c r="AG84" s="93"/>
      <c r="AH84" s="93"/>
    </row>
    <row r="85" spans="3:34" x14ac:dyDescent="0.4">
      <c r="C85" s="49"/>
      <c r="D85" s="93"/>
      <c r="E85" s="93"/>
      <c r="F85" s="94"/>
      <c r="G85" s="94"/>
      <c r="H85" s="94"/>
      <c r="I85" s="94"/>
      <c r="J85" s="94"/>
      <c r="K85" s="93"/>
      <c r="L85" s="93"/>
      <c r="M85" s="94"/>
      <c r="N85" s="95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/>
      <c r="AG85" s="93"/>
      <c r="AH85" s="93"/>
    </row>
    <row r="86" spans="3:34" x14ac:dyDescent="0.4">
      <c r="C86" s="49"/>
      <c r="D86" s="93"/>
      <c r="E86" s="93"/>
      <c r="F86" s="94"/>
      <c r="G86" s="94"/>
      <c r="H86" s="94"/>
      <c r="I86" s="94"/>
      <c r="J86" s="94"/>
      <c r="K86" s="93"/>
      <c r="L86" s="93"/>
      <c r="M86" s="94"/>
      <c r="N86" s="95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  <c r="AA86" s="93"/>
      <c r="AB86" s="93"/>
      <c r="AC86" s="93"/>
      <c r="AD86" s="93"/>
      <c r="AE86" s="93"/>
      <c r="AF86" s="93"/>
      <c r="AG86" s="93"/>
      <c r="AH86" s="93"/>
    </row>
    <row r="87" spans="3:34" x14ac:dyDescent="0.4">
      <c r="C87" s="49"/>
      <c r="D87" s="93"/>
      <c r="E87" s="93"/>
      <c r="F87" s="94"/>
      <c r="G87" s="94"/>
      <c r="H87" s="94"/>
      <c r="I87" s="94"/>
      <c r="J87" s="94"/>
      <c r="K87" s="93"/>
      <c r="L87" s="93"/>
      <c r="M87" s="94"/>
      <c r="N87" s="95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/>
      <c r="AE87" s="93"/>
      <c r="AF87" s="93"/>
      <c r="AG87" s="93"/>
      <c r="AH87" s="93"/>
    </row>
    <row r="88" spans="3:34" x14ac:dyDescent="0.4">
      <c r="C88" s="49"/>
      <c r="D88" s="93"/>
      <c r="E88" s="93"/>
      <c r="F88" s="94"/>
      <c r="G88" s="94"/>
      <c r="H88" s="94"/>
      <c r="I88" s="94"/>
      <c r="J88" s="94"/>
      <c r="K88" s="93"/>
      <c r="L88" s="93"/>
      <c r="M88" s="94"/>
      <c r="N88" s="95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  <c r="AA88" s="93"/>
      <c r="AB88" s="93"/>
      <c r="AC88" s="93"/>
      <c r="AD88" s="93"/>
      <c r="AE88" s="93"/>
      <c r="AF88" s="93"/>
      <c r="AG88" s="93"/>
      <c r="AH88" s="93"/>
    </row>
    <row r="89" spans="3:34" x14ac:dyDescent="0.4">
      <c r="C89" s="49"/>
      <c r="D89" s="93"/>
      <c r="E89" s="93"/>
      <c r="F89" s="94"/>
      <c r="G89" s="94"/>
      <c r="H89" s="94"/>
      <c r="I89" s="94"/>
      <c r="J89" s="94"/>
      <c r="K89" s="93"/>
      <c r="L89" s="93"/>
      <c r="M89" s="94"/>
      <c r="N89" s="95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/>
      <c r="AE89" s="93"/>
      <c r="AF89" s="93"/>
      <c r="AG89" s="93"/>
      <c r="AH89" s="93"/>
    </row>
    <row r="90" spans="3:34" x14ac:dyDescent="0.4">
      <c r="C90" s="49"/>
      <c r="D90" s="93"/>
      <c r="E90" s="93"/>
      <c r="F90" s="94"/>
      <c r="G90" s="94"/>
      <c r="H90" s="94"/>
      <c r="I90" s="94"/>
      <c r="J90" s="94"/>
      <c r="K90" s="93"/>
      <c r="L90" s="93"/>
      <c r="M90" s="94"/>
      <c r="N90" s="95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  <c r="AA90" s="93"/>
      <c r="AB90" s="93"/>
      <c r="AC90" s="93"/>
      <c r="AD90" s="93"/>
      <c r="AE90" s="93"/>
      <c r="AF90" s="93"/>
      <c r="AG90" s="93"/>
      <c r="AH90" s="93"/>
    </row>
    <row r="91" spans="3:34" x14ac:dyDescent="0.4">
      <c r="C91" s="49"/>
      <c r="D91" s="93"/>
      <c r="E91" s="93"/>
      <c r="F91" s="94"/>
      <c r="G91" s="94"/>
      <c r="H91" s="94"/>
      <c r="I91" s="94"/>
      <c r="J91" s="94"/>
      <c r="K91" s="93"/>
      <c r="L91" s="93"/>
      <c r="M91" s="94"/>
      <c r="N91" s="95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/>
      <c r="AE91" s="93"/>
      <c r="AF91" s="93"/>
      <c r="AG91" s="93"/>
      <c r="AH91" s="93"/>
    </row>
    <row r="92" spans="3:34" x14ac:dyDescent="0.4">
      <c r="C92" s="49"/>
      <c r="D92" s="93"/>
      <c r="E92" s="93"/>
      <c r="F92" s="94"/>
      <c r="G92" s="94"/>
      <c r="H92" s="94"/>
      <c r="I92" s="94"/>
      <c r="J92" s="94"/>
      <c r="K92" s="93"/>
      <c r="L92" s="93"/>
      <c r="M92" s="94"/>
      <c r="N92" s="95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  <c r="AA92" s="93"/>
      <c r="AB92" s="93"/>
      <c r="AC92" s="93"/>
      <c r="AD92" s="93"/>
      <c r="AE92" s="93"/>
      <c r="AF92" s="93"/>
      <c r="AG92" s="93"/>
      <c r="AH92" s="93"/>
    </row>
    <row r="93" spans="3:34" x14ac:dyDescent="0.4">
      <c r="C93" s="49"/>
      <c r="D93" s="93"/>
      <c r="E93" s="93"/>
      <c r="F93" s="94"/>
      <c r="G93" s="94"/>
      <c r="H93" s="94"/>
      <c r="I93" s="94"/>
      <c r="J93" s="94"/>
      <c r="K93" s="93"/>
      <c r="L93" s="93"/>
      <c r="M93" s="94"/>
      <c r="N93" s="95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/>
      <c r="AE93" s="93"/>
      <c r="AF93" s="93"/>
      <c r="AG93" s="93"/>
      <c r="AH93" s="93"/>
    </row>
    <row r="94" spans="3:34" x14ac:dyDescent="0.4">
      <c r="C94" s="49"/>
      <c r="D94" s="93"/>
      <c r="E94" s="93"/>
      <c r="F94" s="94"/>
      <c r="G94" s="94"/>
      <c r="H94" s="94"/>
      <c r="I94" s="94"/>
      <c r="J94" s="94"/>
      <c r="K94" s="93"/>
      <c r="L94" s="93"/>
      <c r="M94" s="94"/>
      <c r="N94" s="95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  <c r="AA94" s="93"/>
      <c r="AB94" s="93"/>
      <c r="AC94" s="93"/>
      <c r="AD94" s="93"/>
      <c r="AE94" s="93"/>
      <c r="AF94" s="93"/>
      <c r="AG94" s="93"/>
      <c r="AH94" s="93"/>
    </row>
    <row r="95" spans="3:34" x14ac:dyDescent="0.4">
      <c r="C95" s="49"/>
      <c r="D95" s="93"/>
      <c r="E95" s="93"/>
      <c r="F95" s="94"/>
      <c r="G95" s="94"/>
      <c r="H95" s="94"/>
      <c r="I95" s="94"/>
      <c r="J95" s="94"/>
      <c r="K95" s="93"/>
      <c r="L95" s="93"/>
      <c r="M95" s="94"/>
      <c r="N95" s="95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  <c r="AB95" s="93"/>
      <c r="AC95" s="93"/>
      <c r="AD95" s="93"/>
      <c r="AE95" s="93"/>
      <c r="AF95" s="93"/>
      <c r="AG95" s="93"/>
      <c r="AH95" s="93"/>
    </row>
    <row r="96" spans="3:34" x14ac:dyDescent="0.4">
      <c r="C96" s="49"/>
      <c r="D96" s="93"/>
      <c r="E96" s="93"/>
      <c r="F96" s="94"/>
      <c r="G96" s="94"/>
      <c r="H96" s="94"/>
      <c r="I96" s="94"/>
      <c r="J96" s="94"/>
      <c r="K96" s="93"/>
      <c r="L96" s="93"/>
      <c r="M96" s="94"/>
      <c r="N96" s="95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  <c r="AA96" s="93"/>
      <c r="AB96" s="93"/>
      <c r="AC96" s="93"/>
      <c r="AD96" s="93"/>
      <c r="AE96" s="93"/>
      <c r="AF96" s="93"/>
      <c r="AG96" s="93"/>
      <c r="AH96" s="93"/>
    </row>
    <row r="97" spans="3:34" x14ac:dyDescent="0.4">
      <c r="C97" s="49"/>
      <c r="D97" s="93"/>
      <c r="E97" s="93"/>
      <c r="F97" s="94"/>
      <c r="G97" s="94"/>
      <c r="H97" s="94"/>
      <c r="I97" s="94"/>
      <c r="J97" s="94"/>
      <c r="K97" s="93"/>
      <c r="L97" s="93"/>
      <c r="M97" s="94"/>
      <c r="N97" s="95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  <c r="AB97" s="93"/>
      <c r="AC97" s="93"/>
      <c r="AD97" s="93"/>
      <c r="AE97" s="93"/>
      <c r="AF97" s="93"/>
      <c r="AG97" s="93"/>
      <c r="AH97" s="93"/>
    </row>
    <row r="98" spans="3:34" x14ac:dyDescent="0.4">
      <c r="C98" s="49"/>
      <c r="D98" s="93"/>
      <c r="E98" s="93"/>
      <c r="F98" s="94"/>
      <c r="G98" s="94"/>
      <c r="H98" s="94"/>
      <c r="I98" s="94"/>
      <c r="J98" s="94"/>
      <c r="K98" s="93"/>
      <c r="L98" s="93"/>
      <c r="M98" s="94"/>
      <c r="N98" s="95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  <c r="AA98" s="93"/>
      <c r="AB98" s="93"/>
      <c r="AC98" s="93"/>
      <c r="AD98" s="93"/>
      <c r="AE98" s="93"/>
      <c r="AF98" s="93"/>
      <c r="AG98" s="93"/>
      <c r="AH98" s="93"/>
    </row>
  </sheetData>
  <mergeCells count="28"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  <mergeCell ref="C3:L3"/>
    <mergeCell ref="A4:A5"/>
    <mergeCell ref="B4:B5"/>
    <mergeCell ref="C4:C5"/>
    <mergeCell ref="Q39:S39"/>
    <mergeCell ref="A36:B36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</mergeCells>
  <pageMargins left="0.25" right="0.25" top="0.75" bottom="0.75" header="0.3" footer="0.3"/>
  <pageSetup paperSize="5" orientation="landscape" r:id="rId1"/>
  <ignoredErrors>
    <ignoredError sqref="AI6:AI35 D36:AA36 AB36:AH3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41" t="s">
        <v>31</v>
      </c>
      <c r="D1" s="141" t="s">
        <v>32</v>
      </c>
      <c r="E1" s="141" t="s">
        <v>42</v>
      </c>
    </row>
    <row r="2" spans="3:13" s="10" customFormat="1" ht="7.5" customHeight="1" x14ac:dyDescent="0.3">
      <c r="C2" s="142"/>
      <c r="D2" s="142"/>
      <c r="E2" s="142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43" t="s">
        <v>31</v>
      </c>
      <c r="D35" s="143" t="s">
        <v>32</v>
      </c>
      <c r="E35" s="145" t="s">
        <v>35</v>
      </c>
    </row>
    <row r="36" spans="3:5" ht="21" customHeight="1" x14ac:dyDescent="0.3">
      <c r="C36" s="144"/>
      <c r="D36" s="144"/>
      <c r="E36" s="146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8" customWidth="1"/>
    <col min="2" max="2" width="25.33203125" style="46" bestFit="1" customWidth="1"/>
    <col min="3" max="3" width="11.5546875" style="46" bestFit="1" customWidth="1"/>
    <col min="4" max="4" width="15.44140625" style="51" bestFit="1" customWidth="1"/>
    <col min="5" max="5" width="12.109375" style="46" bestFit="1" customWidth="1"/>
    <col min="6" max="7" width="10.44140625" bestFit="1" customWidth="1"/>
  </cols>
  <sheetData>
    <row r="1" spans="1:7" ht="15.6" x14ac:dyDescent="0.3">
      <c r="A1" s="59" t="s">
        <v>89</v>
      </c>
      <c r="B1" s="59"/>
      <c r="C1" s="59"/>
      <c r="D1" s="59"/>
      <c r="E1" s="59"/>
      <c r="F1" s="59"/>
      <c r="G1" s="60"/>
    </row>
    <row r="2" spans="1:7" ht="15.6" x14ac:dyDescent="0.3">
      <c r="A2" s="59" t="s">
        <v>90</v>
      </c>
      <c r="B2" s="59"/>
      <c r="C2" s="59"/>
      <c r="D2" s="59"/>
      <c r="E2" s="59"/>
      <c r="F2" s="59"/>
      <c r="G2" s="60"/>
    </row>
    <row r="3" spans="1:7" ht="15.6" x14ac:dyDescent="0.3">
      <c r="A3" s="59" t="s">
        <v>91</v>
      </c>
      <c r="B3" s="59"/>
      <c r="C3" s="59"/>
      <c r="D3" s="59"/>
      <c r="E3" s="59"/>
      <c r="F3" s="59"/>
      <c r="G3" s="60"/>
    </row>
    <row r="4" spans="1:7" ht="15.6" x14ac:dyDescent="0.3">
      <c r="A4" s="59" t="s">
        <v>92</v>
      </c>
      <c r="B4" s="59"/>
      <c r="C4" s="59"/>
      <c r="D4" s="59"/>
      <c r="E4" s="59"/>
      <c r="F4" s="59"/>
      <c r="G4" s="60"/>
    </row>
    <row r="5" spans="1:7" ht="31.2" x14ac:dyDescent="0.3">
      <c r="A5" s="56" t="s">
        <v>37</v>
      </c>
      <c r="B5" s="57" t="s">
        <v>0</v>
      </c>
      <c r="C5" s="57" t="s">
        <v>38</v>
      </c>
      <c r="D5" s="57" t="s">
        <v>29</v>
      </c>
      <c r="E5" s="58" t="s">
        <v>93</v>
      </c>
      <c r="F5" s="57" t="s">
        <v>30</v>
      </c>
      <c r="G5" s="57" t="s">
        <v>94</v>
      </c>
    </row>
    <row r="6" spans="1:7" ht="15.6" x14ac:dyDescent="0.3">
      <c r="A6" s="58">
        <v>1</v>
      </c>
      <c r="B6" s="63" t="s">
        <v>44</v>
      </c>
      <c r="C6" s="64">
        <v>20090871</v>
      </c>
      <c r="D6" s="58" t="s">
        <v>3</v>
      </c>
      <c r="E6" s="58">
        <v>10</v>
      </c>
      <c r="F6" s="58">
        <v>10</v>
      </c>
      <c r="G6" s="61">
        <f t="shared" ref="G6:G37" si="0">E6*F6</f>
        <v>100</v>
      </c>
    </row>
    <row r="7" spans="1:7" ht="15.6" x14ac:dyDescent="0.3">
      <c r="A7" s="58">
        <v>2</v>
      </c>
      <c r="B7" s="65" t="s">
        <v>87</v>
      </c>
      <c r="C7" s="58">
        <v>20100257</v>
      </c>
      <c r="D7" s="58" t="s">
        <v>1</v>
      </c>
      <c r="E7" s="58">
        <v>10</v>
      </c>
      <c r="F7" s="58">
        <v>11</v>
      </c>
      <c r="G7" s="61">
        <f t="shared" si="0"/>
        <v>110</v>
      </c>
    </row>
    <row r="8" spans="1:7" ht="15.6" x14ac:dyDescent="0.3">
      <c r="A8" s="58">
        <v>3</v>
      </c>
      <c r="B8" s="65" t="s">
        <v>84</v>
      </c>
      <c r="C8" s="58">
        <v>20140981</v>
      </c>
      <c r="D8" s="58" t="s">
        <v>85</v>
      </c>
      <c r="E8" s="58">
        <v>10</v>
      </c>
      <c r="F8" s="58">
        <v>15</v>
      </c>
      <c r="G8" s="61">
        <f t="shared" si="0"/>
        <v>150</v>
      </c>
    </row>
    <row r="9" spans="1:7" ht="15.6" x14ac:dyDescent="0.3">
      <c r="A9" s="58">
        <v>4</v>
      </c>
      <c r="B9" s="63" t="s">
        <v>4</v>
      </c>
      <c r="C9" s="64">
        <v>20141008</v>
      </c>
      <c r="D9" s="58" t="s">
        <v>85</v>
      </c>
      <c r="E9" s="58">
        <v>10</v>
      </c>
      <c r="F9" s="58">
        <v>14</v>
      </c>
      <c r="G9" s="61">
        <f t="shared" si="0"/>
        <v>140</v>
      </c>
    </row>
    <row r="10" spans="1:7" ht="15.6" x14ac:dyDescent="0.3">
      <c r="A10" s="58">
        <v>5</v>
      </c>
      <c r="B10" s="65" t="s">
        <v>59</v>
      </c>
      <c r="C10" s="58">
        <v>20150721</v>
      </c>
      <c r="D10" s="58" t="s">
        <v>65</v>
      </c>
      <c r="E10" s="58">
        <v>10</v>
      </c>
      <c r="F10" s="58">
        <v>14</v>
      </c>
      <c r="G10" s="61">
        <f t="shared" si="0"/>
        <v>140</v>
      </c>
    </row>
    <row r="11" spans="1:7" ht="15.6" x14ac:dyDescent="0.3">
      <c r="A11" s="58">
        <v>6</v>
      </c>
      <c r="B11" s="65" t="s">
        <v>66</v>
      </c>
      <c r="C11" s="58">
        <v>20160345</v>
      </c>
      <c r="D11" s="58" t="s">
        <v>65</v>
      </c>
      <c r="E11" s="58">
        <v>10</v>
      </c>
      <c r="F11" s="58">
        <v>14</v>
      </c>
      <c r="G11" s="61">
        <f t="shared" si="0"/>
        <v>140</v>
      </c>
    </row>
    <row r="12" spans="1:7" ht="15.6" x14ac:dyDescent="0.3">
      <c r="A12" s="58">
        <v>7</v>
      </c>
      <c r="B12" s="65" t="s">
        <v>64</v>
      </c>
      <c r="C12" s="58">
        <v>20170558</v>
      </c>
      <c r="D12" s="58" t="s">
        <v>65</v>
      </c>
      <c r="E12" s="58">
        <v>10</v>
      </c>
      <c r="F12" s="58">
        <v>13</v>
      </c>
      <c r="G12" s="70">
        <f t="shared" si="0"/>
        <v>130</v>
      </c>
    </row>
    <row r="13" spans="1:7" ht="15.6" x14ac:dyDescent="0.3">
      <c r="A13" s="58">
        <v>8</v>
      </c>
      <c r="B13" s="65" t="s">
        <v>83</v>
      </c>
      <c r="C13" s="58">
        <v>20170707</v>
      </c>
      <c r="D13" s="58" t="s">
        <v>65</v>
      </c>
      <c r="E13" s="58">
        <v>10</v>
      </c>
      <c r="F13" s="58">
        <v>13</v>
      </c>
      <c r="G13" s="61">
        <f t="shared" si="0"/>
        <v>130</v>
      </c>
    </row>
    <row r="14" spans="1:7" ht="15.6" x14ac:dyDescent="0.3">
      <c r="A14" s="58">
        <v>9</v>
      </c>
      <c r="B14" s="65" t="s">
        <v>81</v>
      </c>
      <c r="C14" s="58">
        <v>20180238</v>
      </c>
      <c r="D14" s="58" t="s">
        <v>65</v>
      </c>
      <c r="E14" s="58">
        <v>10</v>
      </c>
      <c r="F14" s="58">
        <v>14</v>
      </c>
      <c r="G14" s="61">
        <f t="shared" si="0"/>
        <v>140</v>
      </c>
    </row>
    <row r="15" spans="1:7" ht="15.6" x14ac:dyDescent="0.3">
      <c r="A15" s="58">
        <v>10</v>
      </c>
      <c r="B15" s="65" t="s">
        <v>86</v>
      </c>
      <c r="C15" s="58">
        <v>20091195</v>
      </c>
      <c r="D15" s="58" t="s">
        <v>2</v>
      </c>
      <c r="E15" s="58">
        <v>10</v>
      </c>
      <c r="F15" s="58">
        <v>14</v>
      </c>
      <c r="G15" s="61">
        <f t="shared" si="0"/>
        <v>140</v>
      </c>
    </row>
    <row r="16" spans="1:7" ht="15.6" x14ac:dyDescent="0.3">
      <c r="A16" s="58">
        <v>11</v>
      </c>
      <c r="B16" s="66" t="s">
        <v>9</v>
      </c>
      <c r="C16" s="67">
        <v>20160360</v>
      </c>
      <c r="D16" s="67" t="s">
        <v>2</v>
      </c>
      <c r="E16" s="58">
        <v>10</v>
      </c>
      <c r="F16" s="58">
        <v>13</v>
      </c>
      <c r="G16" s="61">
        <f t="shared" si="0"/>
        <v>130</v>
      </c>
    </row>
    <row r="17" spans="1:7" ht="15.6" x14ac:dyDescent="0.3">
      <c r="A17" s="58">
        <v>12</v>
      </c>
      <c r="B17" s="63" t="s">
        <v>8</v>
      </c>
      <c r="C17" s="58">
        <v>20160612</v>
      </c>
      <c r="D17" s="58" t="s">
        <v>2</v>
      </c>
      <c r="E17" s="58">
        <v>10</v>
      </c>
      <c r="F17" s="58">
        <v>14</v>
      </c>
      <c r="G17" s="61">
        <f t="shared" si="0"/>
        <v>140</v>
      </c>
    </row>
    <row r="18" spans="1:7" ht="15.6" x14ac:dyDescent="0.3">
      <c r="A18" s="58">
        <v>13</v>
      </c>
      <c r="B18" s="65" t="s">
        <v>72</v>
      </c>
      <c r="C18" s="58">
        <v>20170736</v>
      </c>
      <c r="D18" s="58" t="s">
        <v>2</v>
      </c>
      <c r="E18" s="58">
        <v>10</v>
      </c>
      <c r="F18" s="58">
        <v>16</v>
      </c>
      <c r="G18" s="61">
        <f t="shared" si="0"/>
        <v>160</v>
      </c>
    </row>
    <row r="19" spans="1:7" ht="15.6" x14ac:dyDescent="0.3">
      <c r="A19" s="58">
        <v>14</v>
      </c>
      <c r="B19" s="65" t="s">
        <v>82</v>
      </c>
      <c r="C19" s="58">
        <v>20180239</v>
      </c>
      <c r="D19" s="58" t="s">
        <v>2</v>
      </c>
      <c r="E19" s="58">
        <v>10</v>
      </c>
      <c r="F19" s="58">
        <v>14</v>
      </c>
      <c r="G19" s="61">
        <f t="shared" si="0"/>
        <v>140</v>
      </c>
    </row>
    <row r="20" spans="1:7" ht="15.6" x14ac:dyDescent="0.3">
      <c r="A20" s="58">
        <v>15</v>
      </c>
      <c r="B20" s="63" t="s">
        <v>5</v>
      </c>
      <c r="C20" s="58">
        <v>20141152</v>
      </c>
      <c r="D20" s="58" t="s">
        <v>6</v>
      </c>
      <c r="E20" s="58">
        <v>10</v>
      </c>
      <c r="F20" s="58">
        <v>15</v>
      </c>
      <c r="G20" s="61">
        <f t="shared" si="0"/>
        <v>150</v>
      </c>
    </row>
    <row r="21" spans="1:7" ht="15.6" x14ac:dyDescent="0.3">
      <c r="A21" s="58">
        <v>16</v>
      </c>
      <c r="B21" s="63" t="s">
        <v>10</v>
      </c>
      <c r="C21" s="58">
        <v>20160317</v>
      </c>
      <c r="D21" s="58" t="s">
        <v>6</v>
      </c>
      <c r="E21" s="58">
        <v>10</v>
      </c>
      <c r="F21" s="58">
        <v>14</v>
      </c>
      <c r="G21" s="61">
        <f t="shared" si="0"/>
        <v>140</v>
      </c>
    </row>
    <row r="22" spans="1:7" ht="15.6" x14ac:dyDescent="0.3">
      <c r="A22" s="58">
        <v>17</v>
      </c>
      <c r="B22" s="65" t="s">
        <v>88</v>
      </c>
      <c r="C22" s="58">
        <v>20170712</v>
      </c>
      <c r="D22" s="58" t="s">
        <v>6</v>
      </c>
      <c r="E22" s="58">
        <v>10</v>
      </c>
      <c r="F22" s="58">
        <v>15</v>
      </c>
      <c r="G22" s="61">
        <f t="shared" si="0"/>
        <v>150</v>
      </c>
    </row>
    <row r="23" spans="1:7" ht="15.6" x14ac:dyDescent="0.3">
      <c r="A23" s="58">
        <v>18</v>
      </c>
      <c r="B23" s="65" t="s">
        <v>63</v>
      </c>
      <c r="C23" s="58">
        <v>20160147</v>
      </c>
      <c r="D23" s="58" t="s">
        <v>60</v>
      </c>
      <c r="E23" s="58">
        <v>10</v>
      </c>
      <c r="F23" s="58">
        <v>16</v>
      </c>
      <c r="G23" s="61">
        <f t="shared" si="0"/>
        <v>160</v>
      </c>
    </row>
    <row r="24" spans="1:7" ht="15.6" x14ac:dyDescent="0.3">
      <c r="A24" s="58">
        <v>19</v>
      </c>
      <c r="B24" s="63" t="s">
        <v>70</v>
      </c>
      <c r="C24" s="58">
        <v>778</v>
      </c>
      <c r="D24" s="58" t="s">
        <v>24</v>
      </c>
      <c r="E24" s="58">
        <v>10</v>
      </c>
      <c r="F24" s="58">
        <v>11</v>
      </c>
      <c r="G24" s="61">
        <f t="shared" si="0"/>
        <v>110</v>
      </c>
    </row>
    <row r="25" spans="1:7" ht="15.6" x14ac:dyDescent="0.3">
      <c r="A25" s="58">
        <v>20</v>
      </c>
      <c r="B25" s="63" t="s">
        <v>51</v>
      </c>
      <c r="C25" s="58" t="s">
        <v>26</v>
      </c>
      <c r="D25" s="58" t="s">
        <v>24</v>
      </c>
      <c r="E25" s="58">
        <v>10</v>
      </c>
      <c r="F25" s="58">
        <v>11</v>
      </c>
      <c r="G25" s="61">
        <f t="shared" si="0"/>
        <v>110</v>
      </c>
    </row>
    <row r="26" spans="1:7" ht="15.6" x14ac:dyDescent="0.3">
      <c r="A26" s="58">
        <v>21</v>
      </c>
      <c r="B26" s="63" t="s">
        <v>45</v>
      </c>
      <c r="C26" s="64">
        <v>20070102</v>
      </c>
      <c r="D26" s="58" t="s">
        <v>67</v>
      </c>
      <c r="E26" s="58">
        <v>10</v>
      </c>
      <c r="F26" s="58">
        <v>14</v>
      </c>
      <c r="G26" s="61">
        <f t="shared" si="0"/>
        <v>140</v>
      </c>
    </row>
    <row r="27" spans="1:7" ht="15.6" x14ac:dyDescent="0.3">
      <c r="A27" s="58">
        <v>22</v>
      </c>
      <c r="B27" s="65" t="s">
        <v>54</v>
      </c>
      <c r="C27" s="58">
        <v>1538</v>
      </c>
      <c r="D27" s="58" t="s">
        <v>68</v>
      </c>
      <c r="E27" s="58">
        <v>10</v>
      </c>
      <c r="F27" s="58">
        <v>16</v>
      </c>
      <c r="G27" s="61">
        <f t="shared" si="0"/>
        <v>160</v>
      </c>
    </row>
    <row r="28" spans="1:7" ht="15.6" x14ac:dyDescent="0.3">
      <c r="A28" s="58">
        <v>23</v>
      </c>
      <c r="B28" s="63" t="s">
        <v>46</v>
      </c>
      <c r="C28" s="58">
        <v>20070101</v>
      </c>
      <c r="D28" s="58" t="s">
        <v>11</v>
      </c>
      <c r="E28" s="58">
        <v>10</v>
      </c>
      <c r="F28" s="58">
        <v>9</v>
      </c>
      <c r="G28" s="61">
        <f t="shared" si="0"/>
        <v>90</v>
      </c>
    </row>
    <row r="29" spans="1:7" ht="15.6" x14ac:dyDescent="0.3">
      <c r="A29" s="58">
        <v>24</v>
      </c>
      <c r="B29" s="65" t="s">
        <v>43</v>
      </c>
      <c r="C29" s="58">
        <v>20080112</v>
      </c>
      <c r="D29" s="58" t="s">
        <v>11</v>
      </c>
      <c r="E29" s="58">
        <v>10</v>
      </c>
      <c r="F29" s="58">
        <v>14</v>
      </c>
      <c r="G29" s="61">
        <f t="shared" si="0"/>
        <v>140</v>
      </c>
    </row>
    <row r="30" spans="1:7" ht="15.6" x14ac:dyDescent="0.3">
      <c r="A30" s="58">
        <v>25</v>
      </c>
      <c r="B30" s="68" t="s">
        <v>62</v>
      </c>
      <c r="C30" s="69">
        <v>20090751</v>
      </c>
      <c r="D30" s="58" t="s">
        <v>11</v>
      </c>
      <c r="E30" s="58">
        <v>10</v>
      </c>
      <c r="F30" s="58">
        <v>7</v>
      </c>
      <c r="G30" s="61">
        <f t="shared" si="0"/>
        <v>70</v>
      </c>
    </row>
    <row r="31" spans="1:7" ht="15.6" x14ac:dyDescent="0.3">
      <c r="A31" s="58">
        <v>26</v>
      </c>
      <c r="B31" s="63" t="s">
        <v>49</v>
      </c>
      <c r="C31" s="58">
        <v>20100241</v>
      </c>
      <c r="D31" s="58" t="s">
        <v>11</v>
      </c>
      <c r="E31" s="58">
        <v>10</v>
      </c>
      <c r="F31" s="58">
        <v>13</v>
      </c>
      <c r="G31" s="61">
        <f t="shared" si="0"/>
        <v>130</v>
      </c>
    </row>
    <row r="32" spans="1:7" ht="15.6" x14ac:dyDescent="0.3">
      <c r="A32" s="58">
        <v>27</v>
      </c>
      <c r="B32" s="63" t="s">
        <v>47</v>
      </c>
      <c r="C32" s="58">
        <v>20110818</v>
      </c>
      <c r="D32" s="58" t="s">
        <v>11</v>
      </c>
      <c r="E32" s="58">
        <v>10</v>
      </c>
      <c r="F32" s="58">
        <v>12</v>
      </c>
      <c r="G32" s="61">
        <f t="shared" si="0"/>
        <v>120</v>
      </c>
    </row>
    <row r="33" spans="1:7" ht="15.6" x14ac:dyDescent="0.3">
      <c r="A33" s="58">
        <v>28</v>
      </c>
      <c r="B33" s="63" t="s">
        <v>50</v>
      </c>
      <c r="C33" s="58">
        <v>20110892</v>
      </c>
      <c r="D33" s="58" t="s">
        <v>11</v>
      </c>
      <c r="E33" s="58">
        <v>10</v>
      </c>
      <c r="F33" s="58">
        <v>2</v>
      </c>
      <c r="G33" s="61">
        <f t="shared" si="0"/>
        <v>20</v>
      </c>
    </row>
    <row r="34" spans="1:7" ht="15.6" x14ac:dyDescent="0.3">
      <c r="A34" s="58">
        <v>29</v>
      </c>
      <c r="B34" s="65" t="s">
        <v>80</v>
      </c>
      <c r="C34" s="58">
        <v>20111040</v>
      </c>
      <c r="D34" s="58" t="s">
        <v>11</v>
      </c>
      <c r="E34" s="58">
        <v>10</v>
      </c>
      <c r="F34" s="58">
        <v>15</v>
      </c>
      <c r="G34" s="61">
        <f t="shared" si="0"/>
        <v>150</v>
      </c>
    </row>
    <row r="35" spans="1:7" ht="15.6" x14ac:dyDescent="0.3">
      <c r="A35" s="58">
        <v>30</v>
      </c>
      <c r="B35" s="63" t="s">
        <v>16</v>
      </c>
      <c r="C35" s="58">
        <v>20141042</v>
      </c>
      <c r="D35" s="58" t="s">
        <v>11</v>
      </c>
      <c r="E35" s="58">
        <v>10</v>
      </c>
      <c r="F35" s="58">
        <v>5</v>
      </c>
      <c r="G35" s="61">
        <f t="shared" si="0"/>
        <v>50</v>
      </c>
    </row>
    <row r="36" spans="1:7" ht="15.6" x14ac:dyDescent="0.3">
      <c r="A36" s="58">
        <v>31</v>
      </c>
      <c r="B36" s="63" t="s">
        <v>19</v>
      </c>
      <c r="C36" s="58">
        <v>20160707</v>
      </c>
      <c r="D36" s="58" t="s">
        <v>11</v>
      </c>
      <c r="E36" s="58">
        <v>10</v>
      </c>
      <c r="F36" s="58">
        <v>1</v>
      </c>
      <c r="G36" s="61">
        <f t="shared" si="0"/>
        <v>10</v>
      </c>
    </row>
    <row r="37" spans="1:7" ht="15.6" x14ac:dyDescent="0.3">
      <c r="A37" s="58">
        <v>32</v>
      </c>
      <c r="B37" s="63" t="s">
        <v>76</v>
      </c>
      <c r="C37" s="58">
        <v>20171011</v>
      </c>
      <c r="D37" s="58" t="s">
        <v>11</v>
      </c>
      <c r="E37" s="58">
        <v>10</v>
      </c>
      <c r="F37" s="58">
        <v>15</v>
      </c>
      <c r="G37" s="61">
        <f t="shared" si="0"/>
        <v>150</v>
      </c>
    </row>
    <row r="38" spans="1:7" ht="15.6" x14ac:dyDescent="0.3">
      <c r="A38" s="58">
        <v>33</v>
      </c>
      <c r="B38" s="63" t="s">
        <v>48</v>
      </c>
      <c r="C38" s="58">
        <v>20111201</v>
      </c>
      <c r="D38" s="58" t="s">
        <v>12</v>
      </c>
      <c r="E38" s="58">
        <v>10</v>
      </c>
      <c r="F38" s="58">
        <v>10</v>
      </c>
      <c r="G38" s="61">
        <f t="shared" ref="G38:G61" si="1">E38*F38</f>
        <v>100</v>
      </c>
    </row>
    <row r="39" spans="1:7" ht="15.6" x14ac:dyDescent="0.3">
      <c r="A39" s="58">
        <v>34</v>
      </c>
      <c r="B39" s="63" t="s">
        <v>13</v>
      </c>
      <c r="C39" s="58">
        <v>20140938</v>
      </c>
      <c r="D39" s="58" t="s">
        <v>12</v>
      </c>
      <c r="E39" s="58">
        <v>10</v>
      </c>
      <c r="F39" s="58">
        <v>7</v>
      </c>
      <c r="G39" s="61">
        <f t="shared" si="1"/>
        <v>70</v>
      </c>
    </row>
    <row r="40" spans="1:7" ht="15.6" x14ac:dyDescent="0.3">
      <c r="A40" s="58">
        <v>35</v>
      </c>
      <c r="B40" s="63" t="s">
        <v>20</v>
      </c>
      <c r="C40" s="58">
        <v>20141041</v>
      </c>
      <c r="D40" s="58" t="s">
        <v>12</v>
      </c>
      <c r="E40" s="58">
        <v>10</v>
      </c>
      <c r="F40" s="58">
        <v>1</v>
      </c>
      <c r="G40" s="61">
        <f t="shared" si="1"/>
        <v>10</v>
      </c>
    </row>
    <row r="41" spans="1:7" ht="15.6" x14ac:dyDescent="0.3">
      <c r="A41" s="58">
        <v>36</v>
      </c>
      <c r="B41" s="63" t="s">
        <v>15</v>
      </c>
      <c r="C41" s="58">
        <v>20151113</v>
      </c>
      <c r="D41" s="58" t="s">
        <v>12</v>
      </c>
      <c r="E41" s="58">
        <v>10</v>
      </c>
      <c r="F41" s="58">
        <v>14</v>
      </c>
      <c r="G41" s="61">
        <f t="shared" si="1"/>
        <v>140</v>
      </c>
    </row>
    <row r="42" spans="1:7" ht="15.6" x14ac:dyDescent="0.3">
      <c r="A42" s="58">
        <v>37</v>
      </c>
      <c r="B42" s="63" t="s">
        <v>14</v>
      </c>
      <c r="C42" s="58">
        <v>20160150</v>
      </c>
      <c r="D42" s="58" t="s">
        <v>12</v>
      </c>
      <c r="E42" s="58">
        <v>10</v>
      </c>
      <c r="F42" s="58">
        <v>15</v>
      </c>
      <c r="G42" s="61">
        <f t="shared" si="1"/>
        <v>150</v>
      </c>
    </row>
    <row r="43" spans="1:7" ht="15.6" x14ac:dyDescent="0.3">
      <c r="A43" s="58">
        <v>38</v>
      </c>
      <c r="B43" s="63" t="s">
        <v>22</v>
      </c>
      <c r="C43" s="58">
        <v>20160708</v>
      </c>
      <c r="D43" s="58" t="s">
        <v>12</v>
      </c>
      <c r="E43" s="58">
        <v>10</v>
      </c>
      <c r="F43" s="58">
        <v>15</v>
      </c>
      <c r="G43" s="61">
        <f t="shared" si="1"/>
        <v>150</v>
      </c>
    </row>
    <row r="44" spans="1:7" ht="15.6" x14ac:dyDescent="0.3">
      <c r="A44" s="58">
        <v>39</v>
      </c>
      <c r="B44" s="63" t="s">
        <v>21</v>
      </c>
      <c r="C44" s="58">
        <v>20160711</v>
      </c>
      <c r="D44" s="58" t="s">
        <v>12</v>
      </c>
      <c r="E44" s="58">
        <v>10</v>
      </c>
      <c r="F44" s="58">
        <v>11</v>
      </c>
      <c r="G44" s="61">
        <f t="shared" si="1"/>
        <v>110</v>
      </c>
    </row>
    <row r="45" spans="1:7" ht="15.6" x14ac:dyDescent="0.3">
      <c r="A45" s="58">
        <v>40</v>
      </c>
      <c r="B45" s="63" t="s">
        <v>23</v>
      </c>
      <c r="C45" s="58">
        <v>20160719</v>
      </c>
      <c r="D45" s="58" t="s">
        <v>12</v>
      </c>
      <c r="E45" s="58">
        <v>10</v>
      </c>
      <c r="F45" s="58">
        <v>0</v>
      </c>
      <c r="G45" s="61">
        <f t="shared" si="1"/>
        <v>0</v>
      </c>
    </row>
    <row r="46" spans="1:7" ht="15.6" x14ac:dyDescent="0.3">
      <c r="A46" s="58">
        <v>41</v>
      </c>
      <c r="B46" s="65" t="s">
        <v>58</v>
      </c>
      <c r="C46" s="58">
        <v>20160761</v>
      </c>
      <c r="D46" s="58" t="s">
        <v>12</v>
      </c>
      <c r="E46" s="58">
        <v>10</v>
      </c>
      <c r="F46" s="58">
        <v>13</v>
      </c>
      <c r="G46" s="61">
        <f t="shared" si="1"/>
        <v>130</v>
      </c>
    </row>
    <row r="47" spans="1:7" ht="15.6" x14ac:dyDescent="0.3">
      <c r="A47" s="58">
        <v>42</v>
      </c>
      <c r="B47" s="63" t="s">
        <v>28</v>
      </c>
      <c r="C47" s="58">
        <v>20160926</v>
      </c>
      <c r="D47" s="58" t="s">
        <v>12</v>
      </c>
      <c r="E47" s="58">
        <v>10</v>
      </c>
      <c r="F47" s="58">
        <v>4</v>
      </c>
      <c r="G47" s="61">
        <f t="shared" si="1"/>
        <v>40</v>
      </c>
    </row>
    <row r="48" spans="1:7" ht="15.6" x14ac:dyDescent="0.3">
      <c r="A48" s="58">
        <v>43</v>
      </c>
      <c r="B48" s="63" t="s">
        <v>25</v>
      </c>
      <c r="C48" s="58">
        <v>20161032</v>
      </c>
      <c r="D48" s="58" t="s">
        <v>12</v>
      </c>
      <c r="E48" s="58">
        <v>10</v>
      </c>
      <c r="F48" s="58">
        <v>15</v>
      </c>
      <c r="G48" s="61">
        <f t="shared" si="1"/>
        <v>150</v>
      </c>
    </row>
    <row r="49" spans="1:7" ht="15.6" x14ac:dyDescent="0.3">
      <c r="A49" s="58">
        <v>44</v>
      </c>
      <c r="B49" s="63" t="s">
        <v>27</v>
      </c>
      <c r="C49" s="58">
        <v>20161033</v>
      </c>
      <c r="D49" s="58" t="s">
        <v>12</v>
      </c>
      <c r="E49" s="58">
        <v>10</v>
      </c>
      <c r="F49" s="58">
        <v>15</v>
      </c>
      <c r="G49" s="61">
        <f t="shared" si="1"/>
        <v>150</v>
      </c>
    </row>
    <row r="50" spans="1:7" ht="15.6" x14ac:dyDescent="0.3">
      <c r="A50" s="58">
        <v>45</v>
      </c>
      <c r="B50" s="63" t="s">
        <v>52</v>
      </c>
      <c r="C50" s="58">
        <v>20161131</v>
      </c>
      <c r="D50" s="58" t="s">
        <v>12</v>
      </c>
      <c r="E50" s="58">
        <v>10</v>
      </c>
      <c r="F50" s="58">
        <v>16</v>
      </c>
      <c r="G50" s="61">
        <f t="shared" si="1"/>
        <v>160</v>
      </c>
    </row>
    <row r="51" spans="1:7" ht="15.6" x14ac:dyDescent="0.3">
      <c r="A51" s="58">
        <v>46</v>
      </c>
      <c r="B51" s="65" t="s">
        <v>77</v>
      </c>
      <c r="C51" s="58">
        <v>20170132</v>
      </c>
      <c r="D51" s="58" t="s">
        <v>12</v>
      </c>
      <c r="E51" s="58">
        <v>10</v>
      </c>
      <c r="F51" s="58">
        <v>6</v>
      </c>
      <c r="G51" s="61">
        <f t="shared" si="1"/>
        <v>60</v>
      </c>
    </row>
    <row r="52" spans="1:7" ht="15.6" x14ac:dyDescent="0.3">
      <c r="A52" s="58">
        <v>47</v>
      </c>
      <c r="B52" s="65" t="s">
        <v>73</v>
      </c>
      <c r="C52" s="58">
        <v>20170710</v>
      </c>
      <c r="D52" s="58" t="s">
        <v>12</v>
      </c>
      <c r="E52" s="58">
        <v>10</v>
      </c>
      <c r="F52" s="58">
        <v>1</v>
      </c>
      <c r="G52" s="61">
        <f t="shared" si="1"/>
        <v>10</v>
      </c>
    </row>
    <row r="53" spans="1:7" ht="15.6" x14ac:dyDescent="0.3">
      <c r="A53" s="58">
        <v>48</v>
      </c>
      <c r="B53" s="65" t="s">
        <v>69</v>
      </c>
      <c r="C53" s="58">
        <v>20170714</v>
      </c>
      <c r="D53" s="58" t="s">
        <v>12</v>
      </c>
      <c r="E53" s="58">
        <v>10</v>
      </c>
      <c r="F53" s="58">
        <v>15</v>
      </c>
      <c r="G53" s="61">
        <f t="shared" si="1"/>
        <v>150</v>
      </c>
    </row>
    <row r="54" spans="1:7" ht="15.6" x14ac:dyDescent="0.3">
      <c r="A54" s="58">
        <v>49</v>
      </c>
      <c r="B54" s="65" t="s">
        <v>71</v>
      </c>
      <c r="C54" s="58">
        <v>20170801</v>
      </c>
      <c r="D54" s="58" t="s">
        <v>12</v>
      </c>
      <c r="E54" s="58">
        <v>10</v>
      </c>
      <c r="F54" s="58">
        <v>15</v>
      </c>
      <c r="G54" s="61">
        <f t="shared" si="1"/>
        <v>150</v>
      </c>
    </row>
    <row r="55" spans="1:7" ht="15.6" x14ac:dyDescent="0.3">
      <c r="A55" s="58">
        <v>50</v>
      </c>
      <c r="B55" s="65" t="s">
        <v>74</v>
      </c>
      <c r="C55" s="58">
        <v>20170835</v>
      </c>
      <c r="D55" s="58" t="s">
        <v>12</v>
      </c>
      <c r="E55" s="58">
        <v>10</v>
      </c>
      <c r="F55" s="58">
        <v>14</v>
      </c>
      <c r="G55" s="61">
        <f t="shared" si="1"/>
        <v>140</v>
      </c>
    </row>
    <row r="56" spans="1:7" ht="15.6" x14ac:dyDescent="0.3">
      <c r="A56" s="58">
        <v>51</v>
      </c>
      <c r="B56" s="65" t="s">
        <v>75</v>
      </c>
      <c r="C56" s="58">
        <v>20171012</v>
      </c>
      <c r="D56" s="58" t="s">
        <v>12</v>
      </c>
      <c r="E56" s="58">
        <v>10</v>
      </c>
      <c r="F56" s="58">
        <v>16</v>
      </c>
      <c r="G56" s="61">
        <f t="shared" si="1"/>
        <v>160</v>
      </c>
    </row>
    <row r="57" spans="1:7" ht="15.6" x14ac:dyDescent="0.3">
      <c r="A57" s="58">
        <v>52</v>
      </c>
      <c r="B57" s="65" t="s">
        <v>78</v>
      </c>
      <c r="C57" s="58">
        <v>20171112</v>
      </c>
      <c r="D57" s="58" t="s">
        <v>12</v>
      </c>
      <c r="E57" s="58">
        <v>10</v>
      </c>
      <c r="F57" s="58">
        <v>13</v>
      </c>
      <c r="G57" s="61">
        <f t="shared" si="1"/>
        <v>130</v>
      </c>
    </row>
    <row r="58" spans="1:7" ht="15.6" x14ac:dyDescent="0.3">
      <c r="A58" s="58">
        <v>53</v>
      </c>
      <c r="B58" s="65" t="s">
        <v>79</v>
      </c>
      <c r="C58" s="58">
        <v>20171113</v>
      </c>
      <c r="D58" s="58" t="s">
        <v>12</v>
      </c>
      <c r="E58" s="58">
        <v>10</v>
      </c>
      <c r="F58" s="58">
        <v>16</v>
      </c>
      <c r="G58" s="61">
        <f t="shared" si="1"/>
        <v>160</v>
      </c>
    </row>
    <row r="59" spans="1:7" ht="15.6" x14ac:dyDescent="0.3">
      <c r="A59" s="58">
        <v>54</v>
      </c>
      <c r="B59" s="65" t="s">
        <v>55</v>
      </c>
      <c r="C59" s="58">
        <v>20170133</v>
      </c>
      <c r="D59" s="58" t="s">
        <v>18</v>
      </c>
      <c r="E59" s="58">
        <v>10</v>
      </c>
      <c r="F59" s="58">
        <v>2</v>
      </c>
      <c r="G59" s="61">
        <f t="shared" si="1"/>
        <v>20</v>
      </c>
    </row>
    <row r="60" spans="1:7" ht="15.6" x14ac:dyDescent="0.3">
      <c r="A60" s="58">
        <v>55</v>
      </c>
      <c r="B60" s="65" t="s">
        <v>61</v>
      </c>
      <c r="C60" s="58">
        <v>20170352</v>
      </c>
      <c r="D60" s="58" t="s">
        <v>18</v>
      </c>
      <c r="E60" s="58">
        <v>10</v>
      </c>
      <c r="F60" s="58">
        <v>9</v>
      </c>
      <c r="G60" s="61">
        <f t="shared" si="1"/>
        <v>90</v>
      </c>
    </row>
    <row r="61" spans="1:7" ht="15.6" x14ac:dyDescent="0.3">
      <c r="A61" s="147" t="s">
        <v>95</v>
      </c>
      <c r="B61" s="147"/>
      <c r="C61" s="147"/>
      <c r="D61" s="147"/>
      <c r="E61" s="62">
        <v>10</v>
      </c>
      <c r="F61" s="62">
        <f>SUM(F6:F60)</f>
        <v>637</v>
      </c>
      <c r="G61" s="61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8" customWidth="1"/>
    <col min="2" max="2" width="26.109375" style="46" customWidth="1"/>
    <col min="3" max="3" width="14" style="46" customWidth="1"/>
    <col min="4" max="4" width="15.33203125" style="51" customWidth="1"/>
    <col min="5" max="5" width="7.88671875" style="46" customWidth="1"/>
    <col min="6" max="6" width="23.88671875" style="55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14" t="s">
        <v>39</v>
      </c>
      <c r="B1" s="114"/>
      <c r="C1" s="114"/>
      <c r="D1" s="114"/>
      <c r="E1" s="114"/>
      <c r="F1" s="114"/>
      <c r="G1" s="114"/>
      <c r="H1" s="114"/>
    </row>
    <row r="2" spans="1:2901" ht="18.600000000000001" hidden="1" thickBot="1" x14ac:dyDescent="0.4">
      <c r="A2" s="115" t="s">
        <v>40</v>
      </c>
      <c r="B2" s="115"/>
      <c r="C2" s="115"/>
      <c r="D2" s="115"/>
      <c r="E2" s="115"/>
      <c r="F2" s="115"/>
      <c r="G2" s="115"/>
      <c r="H2" s="115"/>
    </row>
    <row r="3" spans="1:2901" ht="32.25" hidden="1" customHeight="1" thickBot="1" x14ac:dyDescent="0.6">
      <c r="A3" s="116" t="s">
        <v>41</v>
      </c>
      <c r="B3" s="117"/>
      <c r="C3" s="152"/>
      <c r="D3" s="135"/>
      <c r="E3" s="73"/>
      <c r="F3" s="53"/>
      <c r="G3" s="28"/>
      <c r="H3" s="2"/>
    </row>
    <row r="4" spans="1:2901" s="21" customFormat="1" ht="19.5" customHeight="1" x14ac:dyDescent="0.3">
      <c r="A4" s="151" t="s">
        <v>37</v>
      </c>
      <c r="B4" s="150" t="s">
        <v>0</v>
      </c>
      <c r="C4" s="149" t="s">
        <v>38</v>
      </c>
      <c r="D4" s="149" t="s">
        <v>29</v>
      </c>
      <c r="E4" s="125" t="s">
        <v>30</v>
      </c>
      <c r="F4" s="153" t="s">
        <v>56</v>
      </c>
      <c r="G4" s="130" t="s">
        <v>57</v>
      </c>
      <c r="H4" s="121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38"/>
      <c r="B5" s="140"/>
      <c r="C5" s="140"/>
      <c r="D5" s="140"/>
      <c r="E5" s="124"/>
      <c r="F5" s="154"/>
      <c r="G5" s="131"/>
      <c r="H5" s="122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4">
        <v>1</v>
      </c>
      <c r="B6" s="76" t="s">
        <v>44</v>
      </c>
      <c r="C6" s="77">
        <v>20090871</v>
      </c>
      <c r="D6" s="74" t="s">
        <v>3</v>
      </c>
      <c r="E6" s="74">
        <v>17</v>
      </c>
      <c r="F6" s="78">
        <v>32.672897196261701</v>
      </c>
      <c r="G6" s="79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4">
        <v>2</v>
      </c>
      <c r="B7" s="80" t="s">
        <v>87</v>
      </c>
      <c r="C7" s="74">
        <v>20100257</v>
      </c>
      <c r="D7" s="74" t="s">
        <v>1</v>
      </c>
      <c r="E7" s="74">
        <v>10</v>
      </c>
      <c r="F7" s="78">
        <v>32.672897196261701</v>
      </c>
      <c r="G7" s="79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4">
        <v>3</v>
      </c>
      <c r="B8" s="80" t="s">
        <v>111</v>
      </c>
      <c r="C8" s="74">
        <v>20120916</v>
      </c>
      <c r="D8" s="74" t="s">
        <v>1</v>
      </c>
      <c r="E8" s="74">
        <v>23</v>
      </c>
      <c r="F8" s="78">
        <v>32.672897196261701</v>
      </c>
      <c r="G8" s="79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4">
        <v>4</v>
      </c>
      <c r="B9" s="76" t="s">
        <v>102</v>
      </c>
      <c r="C9" s="74">
        <v>20140981</v>
      </c>
      <c r="D9" s="74" t="s">
        <v>85</v>
      </c>
      <c r="E9" s="74">
        <v>20</v>
      </c>
      <c r="F9" s="78">
        <v>32.672897196261701</v>
      </c>
      <c r="G9" s="79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4">
        <v>5</v>
      </c>
      <c r="B10" s="76" t="s">
        <v>4</v>
      </c>
      <c r="C10" s="77">
        <v>20141008</v>
      </c>
      <c r="D10" s="74" t="s">
        <v>85</v>
      </c>
      <c r="E10" s="74">
        <v>18</v>
      </c>
      <c r="F10" s="78">
        <v>32.672897196261701</v>
      </c>
      <c r="G10" s="79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4">
        <v>6</v>
      </c>
      <c r="B11" s="80" t="s">
        <v>98</v>
      </c>
      <c r="C11" s="74">
        <v>20141017</v>
      </c>
      <c r="D11" s="74" t="s">
        <v>85</v>
      </c>
      <c r="E11" s="74">
        <v>17</v>
      </c>
      <c r="F11" s="78">
        <v>32.672897196261701</v>
      </c>
      <c r="G11" s="79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4">
        <v>7</v>
      </c>
      <c r="B12" s="80" t="s">
        <v>59</v>
      </c>
      <c r="C12" s="74">
        <v>20150721</v>
      </c>
      <c r="D12" s="74" t="s">
        <v>85</v>
      </c>
      <c r="E12" s="74">
        <v>13</v>
      </c>
      <c r="F12" s="78">
        <v>32.672897196261701</v>
      </c>
      <c r="G12" s="79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4">
        <v>8</v>
      </c>
      <c r="B13" s="80" t="s">
        <v>66</v>
      </c>
      <c r="C13" s="74">
        <v>20160345</v>
      </c>
      <c r="D13" s="74" t="s">
        <v>7</v>
      </c>
      <c r="E13" s="74">
        <v>20</v>
      </c>
      <c r="F13" s="78">
        <v>32.672897196261701</v>
      </c>
      <c r="G13" s="79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4">
        <v>9</v>
      </c>
      <c r="B14" s="76" t="s">
        <v>103</v>
      </c>
      <c r="C14" s="74">
        <v>20170558</v>
      </c>
      <c r="D14" s="74" t="s">
        <v>65</v>
      </c>
      <c r="E14" s="74">
        <v>6</v>
      </c>
      <c r="F14" s="78">
        <v>32.672897196261701</v>
      </c>
      <c r="G14" s="79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4">
        <v>10</v>
      </c>
      <c r="B15" s="80" t="s">
        <v>81</v>
      </c>
      <c r="C15" s="74">
        <v>20180238</v>
      </c>
      <c r="D15" s="74" t="s">
        <v>65</v>
      </c>
      <c r="E15" s="74">
        <v>23</v>
      </c>
      <c r="F15" s="78">
        <v>32.672897196261701</v>
      </c>
      <c r="G15" s="79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4">
        <v>11</v>
      </c>
      <c r="B16" s="80" t="s">
        <v>107</v>
      </c>
      <c r="C16" s="74" t="s">
        <v>108</v>
      </c>
      <c r="D16" s="74" t="s">
        <v>65</v>
      </c>
      <c r="E16" s="74">
        <v>19</v>
      </c>
      <c r="F16" s="78">
        <v>32.672897196261701</v>
      </c>
      <c r="G16" s="79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4">
        <v>12</v>
      </c>
      <c r="B17" s="80" t="s">
        <v>86</v>
      </c>
      <c r="C17" s="74">
        <v>20091195</v>
      </c>
      <c r="D17" s="74" t="s">
        <v>2</v>
      </c>
      <c r="E17" s="74">
        <v>20</v>
      </c>
      <c r="F17" s="78">
        <v>32.672897196261701</v>
      </c>
      <c r="G17" s="79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4">
        <v>13</v>
      </c>
      <c r="B18" s="81" t="s">
        <v>9</v>
      </c>
      <c r="C18" s="82">
        <v>20160360</v>
      </c>
      <c r="D18" s="82" t="s">
        <v>2</v>
      </c>
      <c r="E18" s="74">
        <v>13</v>
      </c>
      <c r="F18" s="78">
        <v>32.672897196261701</v>
      </c>
      <c r="G18" s="79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4">
        <v>14</v>
      </c>
      <c r="B19" s="80" t="s">
        <v>72</v>
      </c>
      <c r="C19" s="74">
        <v>20170736</v>
      </c>
      <c r="D19" s="74" t="s">
        <v>2</v>
      </c>
      <c r="E19" s="74">
        <v>17</v>
      </c>
      <c r="F19" s="78">
        <v>32.672897196261701</v>
      </c>
      <c r="G19" s="79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4">
        <v>15</v>
      </c>
      <c r="B20" s="80" t="s">
        <v>106</v>
      </c>
      <c r="C20" s="74">
        <v>20170102</v>
      </c>
      <c r="D20" s="74" t="s">
        <v>2</v>
      </c>
      <c r="E20" s="74">
        <v>22</v>
      </c>
      <c r="F20" s="78">
        <v>32.672897196261701</v>
      </c>
      <c r="G20" s="79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4">
        <v>16</v>
      </c>
      <c r="B21" s="80" t="s">
        <v>82</v>
      </c>
      <c r="C21" s="74">
        <v>20180239</v>
      </c>
      <c r="D21" s="74" t="s">
        <v>2</v>
      </c>
      <c r="E21" s="74">
        <v>23</v>
      </c>
      <c r="F21" s="78">
        <v>32.672897196261701</v>
      </c>
      <c r="G21" s="79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4">
        <v>17</v>
      </c>
      <c r="B22" s="76" t="s">
        <v>5</v>
      </c>
      <c r="C22" s="74">
        <v>20141152</v>
      </c>
      <c r="D22" s="74" t="s">
        <v>6</v>
      </c>
      <c r="E22" s="74">
        <v>20</v>
      </c>
      <c r="F22" s="78">
        <v>32.672897196261701</v>
      </c>
      <c r="G22" s="79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4">
        <v>18</v>
      </c>
      <c r="B23" s="76" t="s">
        <v>10</v>
      </c>
      <c r="C23" s="74">
        <v>20160317</v>
      </c>
      <c r="D23" s="74" t="s">
        <v>6</v>
      </c>
      <c r="E23" s="74">
        <v>24</v>
      </c>
      <c r="F23" s="78">
        <v>32.672897196261701</v>
      </c>
      <c r="G23" s="79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4">
        <v>19</v>
      </c>
      <c r="B24" s="80" t="s">
        <v>88</v>
      </c>
      <c r="C24" s="74">
        <v>20170712</v>
      </c>
      <c r="D24" s="74" t="s">
        <v>6</v>
      </c>
      <c r="E24" s="74">
        <v>11</v>
      </c>
      <c r="F24" s="78">
        <v>32.672897196261701</v>
      </c>
      <c r="G24" s="79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4">
        <v>20</v>
      </c>
      <c r="B25" s="80" t="s">
        <v>63</v>
      </c>
      <c r="C25" s="74">
        <v>20160147</v>
      </c>
      <c r="D25" s="74" t="s">
        <v>60</v>
      </c>
      <c r="E25" s="74">
        <v>12</v>
      </c>
      <c r="F25" s="78">
        <v>32.672897196261701</v>
      </c>
      <c r="G25" s="79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4">
        <v>21</v>
      </c>
      <c r="B26" s="80" t="s">
        <v>99</v>
      </c>
      <c r="C26" s="74">
        <v>20180616</v>
      </c>
      <c r="D26" s="74" t="s">
        <v>100</v>
      </c>
      <c r="E26" s="74">
        <v>23</v>
      </c>
      <c r="F26" s="78">
        <v>32.672897196261701</v>
      </c>
      <c r="G26" s="79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4">
        <v>22</v>
      </c>
      <c r="B27" s="76" t="s">
        <v>51</v>
      </c>
      <c r="C27" s="74" t="s">
        <v>26</v>
      </c>
      <c r="D27" s="74" t="s">
        <v>24</v>
      </c>
      <c r="E27" s="74">
        <v>17</v>
      </c>
      <c r="F27" s="78">
        <v>32.672897196261701</v>
      </c>
      <c r="G27" s="79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4">
        <v>23</v>
      </c>
      <c r="B28" s="76" t="s">
        <v>70</v>
      </c>
      <c r="C28" s="74">
        <v>778</v>
      </c>
      <c r="D28" s="74" t="s">
        <v>24</v>
      </c>
      <c r="E28" s="74">
        <v>19</v>
      </c>
      <c r="F28" s="78">
        <v>32.672897196261701</v>
      </c>
      <c r="G28" s="79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4">
        <v>24</v>
      </c>
      <c r="B29" s="76" t="s">
        <v>96</v>
      </c>
      <c r="C29" s="74" t="s">
        <v>97</v>
      </c>
      <c r="D29" s="74" t="s">
        <v>24</v>
      </c>
      <c r="E29" s="74">
        <v>6</v>
      </c>
      <c r="F29" s="78">
        <v>32.672897196261701</v>
      </c>
      <c r="G29" s="79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4">
        <v>25</v>
      </c>
      <c r="B30" s="76" t="s">
        <v>45</v>
      </c>
      <c r="C30" s="77">
        <v>20070102</v>
      </c>
      <c r="D30" s="74" t="s">
        <v>67</v>
      </c>
      <c r="E30" s="74">
        <v>24</v>
      </c>
      <c r="F30" s="78">
        <v>32.672897196261701</v>
      </c>
      <c r="G30" s="79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4">
        <v>26</v>
      </c>
      <c r="B31" s="80" t="s">
        <v>54</v>
      </c>
      <c r="C31" s="74">
        <v>1538</v>
      </c>
      <c r="D31" s="74" t="s">
        <v>68</v>
      </c>
      <c r="E31" s="74">
        <v>22</v>
      </c>
      <c r="F31" s="78">
        <v>32.672897196261701</v>
      </c>
      <c r="G31" s="79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4">
        <v>27</v>
      </c>
      <c r="B32" s="80" t="s">
        <v>43</v>
      </c>
      <c r="C32" s="74">
        <v>20080112</v>
      </c>
      <c r="D32" s="74" t="s">
        <v>11</v>
      </c>
      <c r="E32" s="74">
        <v>18</v>
      </c>
      <c r="F32" s="78">
        <v>32.672897196261701</v>
      </c>
      <c r="G32" s="79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4">
        <v>28</v>
      </c>
      <c r="B33" s="76" t="s">
        <v>47</v>
      </c>
      <c r="C33" s="74">
        <v>20110818</v>
      </c>
      <c r="D33" s="74" t="s">
        <v>11</v>
      </c>
      <c r="E33" s="74">
        <v>22</v>
      </c>
      <c r="F33" s="78">
        <v>32.672897196261701</v>
      </c>
      <c r="G33" s="79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4">
        <v>29</v>
      </c>
      <c r="B34" s="76" t="s">
        <v>50</v>
      </c>
      <c r="C34" s="74">
        <v>20110892</v>
      </c>
      <c r="D34" s="74" t="s">
        <v>11</v>
      </c>
      <c r="E34" s="74">
        <v>17</v>
      </c>
      <c r="F34" s="78">
        <v>32.672897196261701</v>
      </c>
      <c r="G34" s="79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4">
        <v>30</v>
      </c>
      <c r="B35" s="80" t="s">
        <v>80</v>
      </c>
      <c r="C35" s="74">
        <v>20111040</v>
      </c>
      <c r="D35" s="74" t="s">
        <v>11</v>
      </c>
      <c r="E35" s="74">
        <v>19</v>
      </c>
      <c r="F35" s="78">
        <v>32.672897196261701</v>
      </c>
      <c r="G35" s="79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4">
        <v>31</v>
      </c>
      <c r="B36" s="76" t="s">
        <v>16</v>
      </c>
      <c r="C36" s="74">
        <v>20141042</v>
      </c>
      <c r="D36" s="74" t="s">
        <v>11</v>
      </c>
      <c r="E36" s="74">
        <v>20</v>
      </c>
      <c r="F36" s="78">
        <v>32.672897196261701</v>
      </c>
      <c r="G36" s="79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4">
        <v>32</v>
      </c>
      <c r="B37" s="76" t="s">
        <v>19</v>
      </c>
      <c r="C37" s="74">
        <v>20160707</v>
      </c>
      <c r="D37" s="74" t="s">
        <v>17</v>
      </c>
      <c r="E37" s="74">
        <v>12</v>
      </c>
      <c r="F37" s="78">
        <v>32.672897196261701</v>
      </c>
      <c r="G37" s="79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4">
        <v>33</v>
      </c>
      <c r="B38" s="76" t="s">
        <v>76</v>
      </c>
      <c r="C38" s="74">
        <v>20171011</v>
      </c>
      <c r="D38" s="74" t="s">
        <v>17</v>
      </c>
      <c r="E38" s="74">
        <v>24</v>
      </c>
      <c r="F38" s="78">
        <v>32.672897196261701</v>
      </c>
      <c r="G38" s="79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4">
        <v>34</v>
      </c>
      <c r="B39" s="76" t="s">
        <v>49</v>
      </c>
      <c r="C39" s="74">
        <v>20100241</v>
      </c>
      <c r="D39" s="74" t="s">
        <v>11</v>
      </c>
      <c r="E39" s="74">
        <v>23</v>
      </c>
      <c r="F39" s="78">
        <v>32.672897196261701</v>
      </c>
      <c r="G39" s="79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4">
        <v>35</v>
      </c>
      <c r="B40" s="76" t="s">
        <v>48</v>
      </c>
      <c r="C40" s="74">
        <v>20111201</v>
      </c>
      <c r="D40" s="74" t="s">
        <v>12</v>
      </c>
      <c r="E40" s="74">
        <v>17</v>
      </c>
      <c r="F40" s="78">
        <v>32.672897196261701</v>
      </c>
      <c r="G40" s="79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4">
        <v>36</v>
      </c>
      <c r="B41" s="76" t="s">
        <v>14</v>
      </c>
      <c r="C41" s="74">
        <v>20160150</v>
      </c>
      <c r="D41" s="74" t="s">
        <v>12</v>
      </c>
      <c r="E41" s="74">
        <v>18</v>
      </c>
      <c r="F41" s="78">
        <v>32.672897196261701</v>
      </c>
      <c r="G41" s="79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4">
        <v>37</v>
      </c>
      <c r="B42" s="76" t="s">
        <v>22</v>
      </c>
      <c r="C42" s="74">
        <v>20160708</v>
      </c>
      <c r="D42" s="74" t="s">
        <v>12</v>
      </c>
      <c r="E42" s="74">
        <v>22</v>
      </c>
      <c r="F42" s="78">
        <v>32.672897196261701</v>
      </c>
      <c r="G42" s="79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4">
        <v>38</v>
      </c>
      <c r="B43" s="76" t="s">
        <v>25</v>
      </c>
      <c r="C43" s="74">
        <v>20161032</v>
      </c>
      <c r="D43" s="74" t="s">
        <v>12</v>
      </c>
      <c r="E43" s="74">
        <v>19</v>
      </c>
      <c r="F43" s="78">
        <v>32.672897196261701</v>
      </c>
      <c r="G43" s="79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4">
        <v>39</v>
      </c>
      <c r="B44" s="76" t="s">
        <v>27</v>
      </c>
      <c r="C44" s="74">
        <v>20161033</v>
      </c>
      <c r="D44" s="74" t="s">
        <v>12</v>
      </c>
      <c r="E44" s="74">
        <v>24</v>
      </c>
      <c r="F44" s="78">
        <v>32.672897196261701</v>
      </c>
      <c r="G44" s="79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4">
        <v>40</v>
      </c>
      <c r="B45" s="76" t="s">
        <v>52</v>
      </c>
      <c r="C45" s="74">
        <v>20161131</v>
      </c>
      <c r="D45" s="74" t="s">
        <v>12</v>
      </c>
      <c r="E45" s="74">
        <v>24</v>
      </c>
      <c r="F45" s="78">
        <v>32.672897196261701</v>
      </c>
      <c r="G45" s="79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4">
        <v>41</v>
      </c>
      <c r="B46" s="80" t="s">
        <v>58</v>
      </c>
      <c r="C46" s="74">
        <v>20160761</v>
      </c>
      <c r="D46" s="74" t="s">
        <v>12</v>
      </c>
      <c r="E46" s="74">
        <v>18</v>
      </c>
      <c r="F46" s="78">
        <v>32.672897196261701</v>
      </c>
      <c r="G46" s="79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4">
        <v>42</v>
      </c>
      <c r="B47" s="80" t="s">
        <v>73</v>
      </c>
      <c r="C47" s="74">
        <v>20170710</v>
      </c>
      <c r="D47" s="74" t="s">
        <v>12</v>
      </c>
      <c r="E47" s="74">
        <v>18</v>
      </c>
      <c r="F47" s="78">
        <v>32.672897196261701</v>
      </c>
      <c r="G47" s="79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4">
        <v>43</v>
      </c>
      <c r="B48" s="80" t="s">
        <v>69</v>
      </c>
      <c r="C48" s="74">
        <v>20170714</v>
      </c>
      <c r="D48" s="74" t="s">
        <v>12</v>
      </c>
      <c r="E48" s="74">
        <v>23</v>
      </c>
      <c r="F48" s="78">
        <v>32.672897196261701</v>
      </c>
      <c r="G48" s="79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4">
        <v>44</v>
      </c>
      <c r="B49" s="80" t="s">
        <v>77</v>
      </c>
      <c r="C49" s="74">
        <v>20170132</v>
      </c>
      <c r="D49" s="74" t="s">
        <v>12</v>
      </c>
      <c r="E49" s="74">
        <v>24</v>
      </c>
      <c r="F49" s="78">
        <v>32.672897196261701</v>
      </c>
      <c r="G49" s="79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4">
        <v>45</v>
      </c>
      <c r="B50" s="80" t="s">
        <v>71</v>
      </c>
      <c r="C50" s="74">
        <v>20170801</v>
      </c>
      <c r="D50" s="74" t="s">
        <v>12</v>
      </c>
      <c r="E50" s="83">
        <v>23</v>
      </c>
      <c r="F50" s="78">
        <v>32.672897196261701</v>
      </c>
      <c r="G50" s="79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4">
        <v>46</v>
      </c>
      <c r="B51" s="80" t="s">
        <v>78</v>
      </c>
      <c r="C51" s="74">
        <v>20171112</v>
      </c>
      <c r="D51" s="74" t="s">
        <v>12</v>
      </c>
      <c r="E51" s="74">
        <v>24</v>
      </c>
      <c r="F51" s="78">
        <v>32.672897196261701</v>
      </c>
      <c r="G51" s="79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4">
        <v>47</v>
      </c>
      <c r="B52" s="80" t="s">
        <v>104</v>
      </c>
      <c r="C52" s="74">
        <v>20181004</v>
      </c>
      <c r="D52" s="74" t="s">
        <v>12</v>
      </c>
      <c r="E52" s="74">
        <v>24</v>
      </c>
      <c r="F52" s="78">
        <v>32.672897196261701</v>
      </c>
      <c r="G52" s="79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4">
        <v>48</v>
      </c>
      <c r="B53" s="80" t="s">
        <v>61</v>
      </c>
      <c r="C53" s="74">
        <v>20170352</v>
      </c>
      <c r="D53" s="74" t="s">
        <v>18</v>
      </c>
      <c r="E53" s="74">
        <v>16</v>
      </c>
      <c r="F53" s="78">
        <v>32.672897196261701</v>
      </c>
      <c r="G53" s="79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4">
        <v>49</v>
      </c>
      <c r="B54" s="80" t="s">
        <v>101</v>
      </c>
      <c r="C54" s="74">
        <v>20180617</v>
      </c>
      <c r="D54" s="74" t="s">
        <v>18</v>
      </c>
      <c r="E54" s="74">
        <v>24</v>
      </c>
      <c r="F54" s="78">
        <v>32.672897196261701</v>
      </c>
      <c r="G54" s="79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4">
        <v>50</v>
      </c>
      <c r="B55" s="80" t="s">
        <v>105</v>
      </c>
      <c r="C55" s="74">
        <v>20170716</v>
      </c>
      <c r="D55" s="74" t="s">
        <v>18</v>
      </c>
      <c r="E55" s="74">
        <v>22</v>
      </c>
      <c r="F55" s="78">
        <v>32.672897196261701</v>
      </c>
      <c r="G55" s="79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4">
        <v>51</v>
      </c>
      <c r="B56" s="80" t="s">
        <v>109</v>
      </c>
      <c r="C56" s="74">
        <v>20181008</v>
      </c>
      <c r="D56" s="74" t="s">
        <v>11</v>
      </c>
      <c r="E56" s="74">
        <v>20</v>
      </c>
      <c r="F56" s="78">
        <v>32.672897196261701</v>
      </c>
      <c r="G56" s="79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4">
        <v>52</v>
      </c>
      <c r="B57" s="80" t="s">
        <v>110</v>
      </c>
      <c r="C57" s="74">
        <v>20181125</v>
      </c>
      <c r="D57" s="74" t="s">
        <v>12</v>
      </c>
      <c r="E57" s="74">
        <v>24</v>
      </c>
      <c r="F57" s="78">
        <v>32.672897196261701</v>
      </c>
      <c r="G57" s="79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4">
        <v>53</v>
      </c>
      <c r="B58" s="80" t="s">
        <v>112</v>
      </c>
      <c r="C58" s="74">
        <v>20181120</v>
      </c>
      <c r="D58" s="74" t="s">
        <v>11</v>
      </c>
      <c r="E58" s="74">
        <v>23</v>
      </c>
      <c r="F58" s="78">
        <v>32.672897196261701</v>
      </c>
      <c r="G58" s="79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4">
        <v>54</v>
      </c>
      <c r="B59" s="80" t="s">
        <v>113</v>
      </c>
      <c r="C59" s="74">
        <v>20150666</v>
      </c>
      <c r="D59" s="74" t="s">
        <v>12</v>
      </c>
      <c r="E59" s="74">
        <v>21</v>
      </c>
      <c r="F59" s="78">
        <v>32.672897196261701</v>
      </c>
      <c r="G59" s="79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4">
        <v>55</v>
      </c>
      <c r="B60" s="80" t="s">
        <v>114</v>
      </c>
      <c r="C60" s="74">
        <v>20170133</v>
      </c>
      <c r="D60" s="74" t="s">
        <v>18</v>
      </c>
      <c r="E60" s="74">
        <v>19</v>
      </c>
      <c r="F60" s="78">
        <v>32.672897196261701</v>
      </c>
      <c r="G60" s="79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4">
        <v>56</v>
      </c>
      <c r="B61" s="75" t="s">
        <v>115</v>
      </c>
      <c r="C61" s="75">
        <v>20180409</v>
      </c>
      <c r="D61" s="75" t="s">
        <v>12</v>
      </c>
      <c r="E61" s="74">
        <v>9</v>
      </c>
      <c r="F61" s="78">
        <v>32.672897196261701</v>
      </c>
      <c r="G61" s="79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08"/>
      <c r="B62" s="109"/>
      <c r="C62" s="109"/>
      <c r="D62" s="148"/>
      <c r="E62" s="44">
        <f>SUM(E6:E61)</f>
        <v>1070</v>
      </c>
      <c r="F62" s="54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1:H1"/>
    <mergeCell ref="A2:H2"/>
    <mergeCell ref="A3:B3"/>
    <mergeCell ref="C3:D3"/>
    <mergeCell ref="G4:G5"/>
    <mergeCell ref="H4:H5"/>
    <mergeCell ref="E4:E5"/>
    <mergeCell ref="F4:F5"/>
    <mergeCell ref="A62:D62"/>
    <mergeCell ref="D4:D5"/>
    <mergeCell ref="C4:C5"/>
    <mergeCell ref="B4:B5"/>
    <mergeCell ref="A4: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55" t="s">
        <v>116</v>
      </c>
      <c r="C1" s="155"/>
      <c r="D1" s="155"/>
    </row>
    <row r="2" spans="2:4" ht="34.799999999999997" x14ac:dyDescent="0.3">
      <c r="B2" s="84" t="s">
        <v>36</v>
      </c>
      <c r="C2" s="84" t="s">
        <v>32</v>
      </c>
      <c r="D2" s="84" t="s">
        <v>42</v>
      </c>
    </row>
    <row r="3" spans="2:4" ht="18" x14ac:dyDescent="0.35">
      <c r="B3" s="85">
        <v>43460</v>
      </c>
      <c r="C3" s="86"/>
      <c r="D3" s="86"/>
    </row>
    <row r="4" spans="2:4" ht="18" x14ac:dyDescent="0.35">
      <c r="B4" s="85">
        <v>43461</v>
      </c>
      <c r="C4" s="86"/>
      <c r="D4" s="86"/>
    </row>
    <row r="5" spans="2:4" ht="18" x14ac:dyDescent="0.35">
      <c r="B5" s="85">
        <v>43462</v>
      </c>
      <c r="C5" s="86"/>
      <c r="D5" s="86"/>
    </row>
    <row r="6" spans="2:4" ht="18" x14ac:dyDescent="0.35">
      <c r="B6" s="85">
        <v>43463</v>
      </c>
      <c r="C6" s="86"/>
      <c r="D6" s="86"/>
    </row>
    <row r="7" spans="2:4" ht="18" x14ac:dyDescent="0.35">
      <c r="B7" s="85">
        <v>43464</v>
      </c>
      <c r="C7" s="86"/>
      <c r="D7" s="86"/>
    </row>
    <row r="8" spans="2:4" ht="18" x14ac:dyDescent="0.35">
      <c r="B8" s="85">
        <v>43465</v>
      </c>
      <c r="C8" s="86"/>
      <c r="D8" s="86"/>
    </row>
    <row r="9" spans="2:4" ht="18" x14ac:dyDescent="0.35">
      <c r="B9" s="85">
        <v>43466</v>
      </c>
      <c r="C9" s="86"/>
      <c r="D9" s="86"/>
    </row>
    <row r="10" spans="2:4" ht="18" x14ac:dyDescent="0.35">
      <c r="B10" s="85">
        <v>43467</v>
      </c>
      <c r="C10" s="86"/>
      <c r="D10" s="86"/>
    </row>
    <row r="11" spans="2:4" ht="18" x14ac:dyDescent="0.35">
      <c r="B11" s="85">
        <v>43468</v>
      </c>
      <c r="C11" s="86"/>
      <c r="D11" s="86"/>
    </row>
    <row r="12" spans="2:4" ht="18" x14ac:dyDescent="0.35">
      <c r="B12" s="85">
        <v>43469</v>
      </c>
      <c r="C12" s="86"/>
      <c r="D12" s="86"/>
    </row>
    <row r="13" spans="2:4" ht="18" x14ac:dyDescent="0.35">
      <c r="B13" s="85">
        <v>43470</v>
      </c>
      <c r="C13" s="86"/>
      <c r="D13" s="86"/>
    </row>
    <row r="14" spans="2:4" ht="18" x14ac:dyDescent="0.35">
      <c r="B14" s="85">
        <v>43471</v>
      </c>
      <c r="C14" s="86"/>
      <c r="D14" s="86"/>
    </row>
    <row r="15" spans="2:4" ht="18" x14ac:dyDescent="0.35">
      <c r="B15" s="85">
        <v>43472</v>
      </c>
      <c r="C15" s="86"/>
      <c r="D15" s="86"/>
    </row>
    <row r="16" spans="2:4" ht="18" x14ac:dyDescent="0.35">
      <c r="B16" s="85">
        <v>43473</v>
      </c>
      <c r="C16" s="86"/>
      <c r="D16" s="86"/>
    </row>
    <row r="17" spans="2:4" ht="18" x14ac:dyDescent="0.35">
      <c r="B17" s="85">
        <v>43474</v>
      </c>
      <c r="C17" s="86"/>
      <c r="D17" s="86"/>
    </row>
    <row r="18" spans="2:4" ht="18" x14ac:dyDescent="0.35">
      <c r="B18" s="85">
        <v>43475</v>
      </c>
      <c r="C18" s="86"/>
      <c r="D18" s="86"/>
    </row>
    <row r="19" spans="2:4" ht="18" x14ac:dyDescent="0.35">
      <c r="B19" s="85">
        <v>43476</v>
      </c>
      <c r="C19" s="86"/>
      <c r="D19" s="86"/>
    </row>
    <row r="20" spans="2:4" ht="18" x14ac:dyDescent="0.35">
      <c r="B20" s="85">
        <v>43477</v>
      </c>
      <c r="C20" s="86"/>
      <c r="D20" s="86"/>
    </row>
    <row r="21" spans="2:4" ht="18" x14ac:dyDescent="0.35">
      <c r="B21" s="85">
        <v>43478</v>
      </c>
      <c r="C21" s="86"/>
      <c r="D21" s="86"/>
    </row>
    <row r="22" spans="2:4" ht="18" x14ac:dyDescent="0.35">
      <c r="B22" s="85">
        <v>43479</v>
      </c>
      <c r="C22" s="86"/>
      <c r="D22" s="86"/>
    </row>
    <row r="23" spans="2:4" ht="18" x14ac:dyDescent="0.35">
      <c r="B23" s="85">
        <v>43480</v>
      </c>
      <c r="C23" s="86"/>
      <c r="D23" s="86"/>
    </row>
    <row r="24" spans="2:4" ht="18" x14ac:dyDescent="0.35">
      <c r="B24" s="85">
        <v>43481</v>
      </c>
      <c r="C24" s="86"/>
      <c r="D24" s="86"/>
    </row>
    <row r="25" spans="2:4" ht="18" x14ac:dyDescent="0.35">
      <c r="B25" s="85">
        <v>43482</v>
      </c>
      <c r="C25" s="86"/>
      <c r="D25" s="86"/>
    </row>
    <row r="26" spans="2:4" ht="18" x14ac:dyDescent="0.35">
      <c r="B26" s="85">
        <v>43483</v>
      </c>
      <c r="C26" s="86"/>
      <c r="D26" s="86"/>
    </row>
    <row r="27" spans="2:4" ht="18" x14ac:dyDescent="0.35">
      <c r="B27" s="85">
        <v>43484</v>
      </c>
      <c r="C27" s="86"/>
      <c r="D27" s="86"/>
    </row>
    <row r="28" spans="2:4" ht="18" x14ac:dyDescent="0.35">
      <c r="B28" s="85">
        <v>43485</v>
      </c>
      <c r="C28" s="86"/>
      <c r="D28" s="86"/>
    </row>
    <row r="29" spans="2:4" ht="18" x14ac:dyDescent="0.35">
      <c r="B29" s="85">
        <v>43486</v>
      </c>
      <c r="C29" s="86"/>
      <c r="D29" s="86"/>
    </row>
    <row r="30" spans="2:4" ht="18" x14ac:dyDescent="0.35">
      <c r="B30" s="85">
        <v>43487</v>
      </c>
      <c r="C30" s="86"/>
      <c r="D30" s="86"/>
    </row>
    <row r="31" spans="2:4" ht="18" x14ac:dyDescent="0.35">
      <c r="B31" s="85">
        <v>43488</v>
      </c>
      <c r="C31" s="86"/>
      <c r="D31" s="86"/>
    </row>
    <row r="32" spans="2:4" ht="18" x14ac:dyDescent="0.35">
      <c r="B32" s="85">
        <v>43489</v>
      </c>
      <c r="C32" s="86"/>
      <c r="D32" s="86"/>
    </row>
    <row r="33" spans="2:4" ht="18" x14ac:dyDescent="0.35">
      <c r="B33" s="85">
        <v>43490</v>
      </c>
      <c r="C33" s="86"/>
      <c r="D33" s="86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2021-09-22T14:37:43Z</dcterms:modified>
</cp:coreProperties>
</file>