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78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<sst xmlns="http://schemas.openxmlformats.org/spreadsheetml/2006/main" count="281" uniqueCount="126">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</sst>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topLeftCell="D1" zoomScale="85" zoomScaleNormal="85" zoomScaleSheetLayoutView="85" workbookViewId="0">
      <pane ySplit="5" topLeftCell="A6" activePane="bottomLeft" state="frozen"/>
      <selection pane="bottomLeft" activeCell="Q5" sqref="Q5:AF11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7" t="s">
        <v>39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2934" ht="18" hidden="1" x14ac:dyDescent="0.35">
      <c r="A2" s="108" t="s">
        <v>40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</row>
    <row r="3" spans="1:2934" ht="31.8" hidden="1" thickBot="1" x14ac:dyDescent="0.6">
      <c r="A3" s="109" t="s">
        <v>41</v>
      </c>
      <c r="B3" s="110"/>
      <c r="C3" s="128"/>
      <c r="D3" s="128"/>
      <c r="E3" s="128"/>
      <c r="F3" s="128"/>
      <c r="G3" s="128"/>
      <c r="H3" s="128"/>
      <c r="I3" s="128"/>
      <c r="J3" s="128"/>
      <c r="K3" s="128"/>
      <c r="L3" s="129"/>
      <c r="M3" s="127" t="s">
        <v>53</v>
      </c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0" t="s">
        <v>37</v>
      </c>
      <c r="B4" s="132" t="s">
        <v>0</v>
      </c>
      <c r="C4" s="119" t="s">
        <v>34</v>
      </c>
      <c r="D4" s="111" t="s">
        <v>36</v>
      </c>
      <c r="E4" s="112"/>
      <c r="F4" s="112"/>
      <c r="G4" s="112"/>
      <c r="H4" s="112"/>
      <c r="I4" s="112"/>
      <c r="J4" s="112"/>
      <c r="K4" s="112"/>
      <c r="L4" s="112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6" t="s">
        <v>30</v>
      </c>
      <c r="AJ4" s="118" t="s">
        <v>31</v>
      </c>
      <c r="AK4" s="119" t="s">
        <v>32</v>
      </c>
      <c r="AL4" s="121" t="s">
        <v>121</v>
      </c>
      <c r="AM4" s="123" t="s">
        <v>122</v>
      </c>
      <c r="AN4" s="125" t="s">
        <v>123</v>
      </c>
      <c r="AO4" s="114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1"/>
      <c r="B5" s="133"/>
      <c r="C5" s="120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7"/>
      <c r="AJ5" s="117"/>
      <c r="AK5" s="120"/>
      <c r="AL5" s="122"/>
      <c r="AM5" s="124"/>
      <c r="AN5" s="126"/>
      <c r="AO5" s="115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14.5</v>
      </c>
      <c r="AJ6" s="31">
        <v>44440</v>
      </c>
      <c r="AK6" s="19">
        <f>1550+490+800+200+645+160+260</f>
        <v>4105</v>
      </c>
      <c r="AL6" s="100">
        <f>AK36/AI36</f>
        <v>91.871657754010698</v>
      </c>
      <c r="AM6" s="22">
        <f>AI6*AL6</f>
        <v>1332.1390374331552</v>
      </c>
      <c r="AN6" s="52">
        <f t="shared" ref="AN6:AN35" si="1">C6-AM6</f>
        <v>667.86096256684482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21</v>
      </c>
      <c r="AJ7" s="31">
        <v>44441</v>
      </c>
      <c r="AK7" s="19"/>
      <c r="AL7" s="101"/>
      <c r="AM7" s="22">
        <f>AI7*AL6</f>
        <v>1929.3048128342248</v>
      </c>
      <c r="AN7" s="87">
        <f t="shared" si="1"/>
        <v>70.695187165775224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20.5</v>
      </c>
      <c r="AJ8" s="31">
        <v>44442</v>
      </c>
      <c r="AK8" s="19">
        <v>2150</v>
      </c>
      <c r="AL8" s="101"/>
      <c r="AM8" s="22">
        <f>AI8*AL6</f>
        <v>1883.3689839572194</v>
      </c>
      <c r="AN8" s="87">
        <f t="shared" si="1"/>
        <v>116.63101604278063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9</v>
      </c>
      <c r="AJ9" s="31">
        <v>44443</v>
      </c>
      <c r="AK9" s="19">
        <v>60</v>
      </c>
      <c r="AL9" s="101"/>
      <c r="AM9" s="22">
        <f>AI9*AL6</f>
        <v>826.84491978609628</v>
      </c>
      <c r="AN9" s="87">
        <f t="shared" si="1"/>
        <v>673.15508021390372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13.5</v>
      </c>
      <c r="AJ10" s="31">
        <v>44444</v>
      </c>
      <c r="AK10" s="19"/>
      <c r="AL10" s="101"/>
      <c r="AM10" s="22">
        <f>AI10*AL6</f>
        <v>1240.2673796791444</v>
      </c>
      <c r="AN10" s="87">
        <f t="shared" si="1"/>
        <v>759.73262032085563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1500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15</v>
      </c>
      <c r="AJ11" s="31">
        <v>44445</v>
      </c>
      <c r="AK11" s="19">
        <v>20</v>
      </c>
      <c r="AL11" s="101"/>
      <c r="AM11" s="22">
        <f>AI11*AL6</f>
        <v>1378.0748663101604</v>
      </c>
      <c r="AN11" s="52">
        <f t="shared" si="1"/>
        <v>121.92513368983964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37" t="s">
        <v>125</v>
      </c>
      <c r="C13" s="13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39"/>
      <c r="C14" s="140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37"/>
      <c r="C15" s="138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37"/>
      <c r="C16" s="138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37"/>
      <c r="C17" s="138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37"/>
      <c r="C18" s="138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37"/>
      <c r="C19" s="138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37"/>
      <c r="C20" s="138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37"/>
      <c r="C21" s="138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37"/>
      <c r="C22" s="138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35"/>
      <c r="B36" s="136"/>
      <c r="C36" s="50">
        <f>SUM(C6:C35)</f>
        <v>11000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93.5</v>
      </c>
      <c r="AJ36" s="45"/>
      <c r="AK36" s="47">
        <f>SUM(AK6:AK35)</f>
        <v>8590</v>
      </c>
      <c r="AL36" s="103"/>
      <c r="AM36" s="23">
        <f>SUM(AM6:AM35)</f>
        <v>8590</v>
      </c>
      <c r="AN36" s="23">
        <f>SUM(AN6:AN35)</f>
        <v>2410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34">
        <f>C36-AK36</f>
        <v>2410</v>
      </c>
      <c r="R39" s="134"/>
      <c r="S39" s="134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7" t="s">
        <v>39</v>
      </c>
      <c r="B1" s="107"/>
      <c r="C1" s="107"/>
      <c r="D1" s="107"/>
      <c r="E1" s="107"/>
      <c r="F1" s="107"/>
      <c r="G1" s="107"/>
      <c r="H1" s="107"/>
    </row>
    <row r="2" spans="1:2901" ht="18.600000000000001" hidden="1" thickBot="1" x14ac:dyDescent="0.4">
      <c r="A2" s="108" t="s">
        <v>40</v>
      </c>
      <c r="B2" s="108"/>
      <c r="C2" s="108"/>
      <c r="D2" s="108"/>
      <c r="E2" s="108"/>
      <c r="F2" s="108"/>
      <c r="G2" s="108"/>
      <c r="H2" s="108"/>
    </row>
    <row r="3" spans="1:2901" ht="32.25" hidden="1" customHeight="1" thickBot="1" x14ac:dyDescent="0.6">
      <c r="A3" s="109" t="s">
        <v>41</v>
      </c>
      <c r="B3" s="110"/>
      <c r="C3" s="148"/>
      <c r="D3" s="128"/>
      <c r="E3" s="73"/>
      <c r="F3" s="53"/>
      <c r="G3" s="28"/>
      <c r="H3" s="2"/>
    </row>
    <row r="4" spans="1:2901" s="21" customFormat="1" ht="19.5" customHeight="1" x14ac:dyDescent="0.3">
      <c r="A4" s="154" t="s">
        <v>37</v>
      </c>
      <c r="B4" s="153" t="s">
        <v>0</v>
      </c>
      <c r="C4" s="152" t="s">
        <v>38</v>
      </c>
      <c r="D4" s="152" t="s">
        <v>29</v>
      </c>
      <c r="E4" s="118" t="s">
        <v>30</v>
      </c>
      <c r="F4" s="149" t="s">
        <v>56</v>
      </c>
      <c r="G4" s="123" t="s">
        <v>57</v>
      </c>
      <c r="H4" s="114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1"/>
      <c r="B5" s="133"/>
      <c r="C5" s="133"/>
      <c r="D5" s="133"/>
      <c r="E5" s="117"/>
      <c r="F5" s="150"/>
      <c r="G5" s="124"/>
      <c r="H5" s="11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35"/>
      <c r="B62" s="136"/>
      <c r="C62" s="136"/>
      <c r="D62" s="151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2021-09-13T15:05:45Z</dcterms:modified>
</cp:coreProperties>
</file>