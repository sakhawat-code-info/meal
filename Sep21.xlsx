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56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34" i="1" l="1"/>
  <c r="C6" i="1" l="1"/>
  <c r="AK31" i="1" l="1"/>
  <c r="C8" i="1" l="1"/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<sst xmlns="http://schemas.openxmlformats.org/spreadsheetml/2006/main" count="284" uniqueCount="128">
  <si>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</si>
  <si>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</si>
  <si>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</si>
  <si>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</si>
  <si>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</si>
  <si>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</si>
  <si>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</si>
  <si>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</si>
  <si>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</si>
  <si>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</si>
  <si>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</si>
  <si>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</si>
  <si>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</si>
  <si>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</si>
  <si>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</si>
  <si>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</si>
  <si>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</si>
  <si>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</si>
  <si>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</si>
  <si>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</si>
  <si>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</si>
  <si>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</si>
  <si>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</si>
  <si>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</si>
  <si>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</si>
  <si>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</si>
  <si>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</si>
  <si>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</si>
  <si>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</si>
  <si>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</si>
  <si>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</si>
  <si>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</si>
  <si>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</si>
  <si>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</si>
  <si>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</si>
  <si>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</si>
  <si>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</si>
  <si>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</si>
  <si>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</si>
  <si>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</si>
  <si>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</si>
  <si>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</si>
  <si>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</si>
  <si>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</si>
  <si>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</si>
  <si>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</si>
  <si>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</si>
  <si>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</si>
  <si>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</si>
  <si>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</si>
  <si>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</si>
  <si>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</si>
  <si>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</si>
  <si>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</si>
  <si>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</si>
  <si>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</si>
  <si>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</si>
  <si>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</si>
  <si>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</si>
  <si>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</si>
  <si>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</si>
  <si>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</si>
  <si>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</si>
  <si>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</si>
  <si>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</si>
  <si>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</si>
  <si>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</si>
  <si>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</si>
  <si>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</si>
  <si>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</si>
  <si>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</si>
  <si>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</si>
  <si>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</si>
  <si>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</si>
  <si>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</si>
  <si>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</si>
  <si>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</si>
  <si>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</si>
  <si>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</si>
  <si>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</si>
  <si>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</si>
  <si>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</si>
  <si>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</si>
  <si>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</si>
  <si>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</si>
  <si>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</si>
  <si>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</si>
  <si>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</si>
  <si>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</si>
  <si>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</si>
  <si>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</si>
  <si>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</si>
  <si>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</si>
  <si>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</si>
  <si>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</si>
  <si>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</si>
  <si>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</si>
  <si>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</si>
  <si>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</si>
  <si>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</si>
  <si>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</si>
  <si>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</si>
  <si>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</si>
  <si>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</si>
  <si>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</si>
  <si>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</si>
  <si>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</si>
  <si>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</si>
  <si>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</si>
  <si>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</si>
  <si>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</si>
  <si>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</si>
  <si>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</si>
  <si>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</si>
  <si>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</si>
  <si>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</si>
  <si>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</si>
  <si>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</si>
  <si>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</si>
  <si>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</si>
  <si>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</si>
  <si>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</si>
  <si>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</si>
  <si>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</si>
  <si>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</si>
  <si>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</si>
  <si>
    <t>September Month Canteen info</t>
  </si>
  <si>
    <t>৭ তারিখ রাতে আপনি খাইছিলেন রাতে পুটি মাছ রান্না হয়েছিল জিকু দাদা শুধু মাছ পাইছিল। যেহেতু আপনি কম্পেইন করলেই তাই ০ দিতে হল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</si>
</sst>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13"/>
      <color rgb="FF00B05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33" fillId="2" borderId="1" xfId="0" applyFont="1" applyFill="1" applyBorder="1" applyAlignment="1">
      <alignment horizontal="left" vertical="center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7" fillId="2" borderId="1" xfId="0" applyNumberFormat="1" applyFont="1" applyFill="1" applyBorder="1" applyAlignment="1">
      <alignment horizontal="center" vertical="center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4" xfId="0" applyFont="1" applyFill="1" applyBorder="1" applyAlignment="1">
      <alignment horizontal="center" vertical="top" wrapText="1"/>
    </xf>
    <xf numFmtId="0" fontId="26" fillId="2" borderId="15" xfId="0" applyFont="1" applyFill="1" applyBorder="1" applyAlignment="1">
      <alignment horizontal="center" vertical="top" wrapText="1"/>
    </xf>
    <xf numFmtId="0" fontId="26" fillId="2" borderId="14" xfId="0" applyFont="1" applyFill="1" applyBorder="1" applyAlignment="1">
      <alignment horizontal="left" vertical="center" wrapText="1"/>
    </xf>
    <xf numFmtId="0" fontId="26" fillId="2" borderId="15" xfId="0" applyFont="1" applyFill="1" applyBorder="1" applyAlignment="1">
      <alignment horizontal="left" vertical="center" wrapText="1"/>
    </xf>
    <xf numFmtId="0" fontId="38" fillId="2" borderId="14" xfId="0" applyFont="1" applyFill="1" applyBorder="1" applyAlignment="1">
      <alignment horizontal="center" vertical="top" wrapText="1"/>
    </xf>
    <xf numFmtId="0" fontId="38" fillId="2" borderId="15" xfId="0" applyFont="1" applyFill="1" applyBorder="1" applyAlignment="1">
      <alignment horizontal="center" vertical="top" wrapText="1"/>
    </xf>
    <xf numFmtId="0" fontId="38" fillId="2" borderId="16" xfId="0" applyFont="1" applyFill="1" applyBorder="1" applyAlignment="1">
      <alignment horizontal="center" vertical="top" wrapText="1"/>
    </xf>
    <xf numFmtId="0" fontId="38" fillId="2" borderId="17" xfId="0" applyFont="1" applyFill="1" applyBorder="1" applyAlignment="1">
      <alignment horizontal="center" vertical="top" wrapText="1"/>
    </xf>
    <xf numFmtId="0" fontId="38" fillId="2" borderId="18" xfId="0" applyFont="1" applyFill="1" applyBorder="1" applyAlignment="1">
      <alignment horizontal="center" vertical="top" wrapText="1"/>
    </xf>
    <xf numFmtId="0" fontId="38" fillId="2" borderId="10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5" fillId="9" borderId="4" xfId="0" applyFont="1" applyFill="1" applyBorder="1" applyAlignment="1">
      <alignment horizontal="center" vertical="center"/>
    </xf>
    <xf numFmtId="0" fontId="36" fillId="9" borderId="5" xfId="0" applyFont="1" applyFill="1" applyBorder="1"/>
    <xf numFmtId="0" fontId="36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left" vertical="center" wrapText="1"/>
    </xf>
    <xf numFmtId="0" fontId="21" fillId="4" borderId="1" xfId="0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center" vertical="center"/>
    </xf>
    <xf numFmtId="3" fontId="16" fillId="4" borderId="1" xfId="0" applyNumberFormat="1" applyFont="1" applyFill="1" applyBorder="1" applyAlignment="1">
      <alignment horizontal="center" vertical="center"/>
    </xf>
    <xf numFmtId="169" fontId="17" fillId="4" borderId="1" xfId="0" applyNumberFormat="1" applyFont="1" applyFill="1" applyBorder="1" applyAlignment="1"/>
    <xf numFmtId="165" fontId="11" fillId="4" borderId="1" xfId="0" applyNumberFormat="1" applyFont="1" applyFill="1" applyBorder="1" applyAlignment="1">
      <alignment horizontal="center" vertical="center"/>
    </xf>
    <xf numFmtId="166" fontId="3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0" fillId="4" borderId="0" xfId="0" applyFont="1" applyFill="1" applyBorder="1"/>
    <xf numFmtId="0" fontId="10" fillId="4" borderId="0" xfId="0" applyFont="1" applyFill="1"/>
    <xf numFmtId="169" fontId="34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532356</xdr:colOff>
      <xdr:row>10</xdr:row>
      <xdr:rowOff>250520</xdr:rowOff>
    </xdr:from>
    <xdr:to>
      <xdr:col>9</xdr:col>
      <xdr:colOff>177452</xdr:colOff>
      <xdr:row>17</xdr:row>
      <xdr:rowOff>62630</xdr:rowOff>
    </xdr:to>
    <xdr:cxnSp macro="">
      <xdr:nvCxnSpPr>
        <xdr:cNvPr id="3" name="Straight Arrow Connector 2"/>
        <xdr:cNvCxnSpPr/>
      </xdr:nvCxnSpPr>
      <xdr:spPr>
        <a:xfrm flipV="1">
          <a:off x="2599151" y="2672219"/>
          <a:ext cx="2734849" cy="1043836"/>
        </a:xfrm>
        <a:prstGeom prst="straightConnector1">
          <a:avLst/>
        </a:prstGeom>
        <a:ln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73" zoomScaleNormal="73" zoomScaleSheetLayoutView="70" workbookViewId="0">
      <pane ySplit="5" topLeftCell="A6" activePane="bottomLeft" state="frozen"/>
      <selection pane="bottomLeft" activeCell="AA25" sqref="AA25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customWidth="1"/>
    <col min="4" max="5" width="6" style="46" customWidth="1"/>
    <col min="6" max="6" width="6" style="91" customWidth="1"/>
    <col min="7" max="10" width="6" style="92" customWidth="1"/>
    <col min="11" max="12" width="6" style="46" customWidth="1"/>
    <col min="13" max="13" width="6" style="92" customWidth="1"/>
    <col min="14" max="14" width="6" style="93" customWidth="1"/>
    <col min="15" max="33" width="6" style="46" customWidth="1"/>
    <col min="34" max="34" width="4.44140625" style="46" hidden="1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2.777343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</row>
    <row r="2" spans="1:2934" ht="18" hidden="1" x14ac:dyDescent="0.35">
      <c r="A2" s="122" t="s">
        <v>40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</row>
    <row r="3" spans="1:2934" ht="31.8" hidden="1" thickBot="1" x14ac:dyDescent="0.6">
      <c r="A3" s="123" t="s">
        <v>41</v>
      </c>
      <c r="B3" s="124"/>
      <c r="C3" s="142"/>
      <c r="D3" s="142"/>
      <c r="E3" s="142"/>
      <c r="F3" s="142"/>
      <c r="G3" s="142"/>
      <c r="H3" s="142"/>
      <c r="I3" s="142"/>
      <c r="J3" s="142"/>
      <c r="K3" s="142"/>
      <c r="L3" s="143"/>
      <c r="M3" s="141" t="s">
        <v>53</v>
      </c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43"/>
      <c r="AK3" s="43"/>
      <c r="AL3" s="94"/>
      <c r="AM3" s="28"/>
      <c r="AN3" s="24"/>
      <c r="AO3" s="2"/>
    </row>
    <row r="4" spans="1:2934" s="21" customFormat="1" ht="19.5" customHeight="1" x14ac:dyDescent="0.4">
      <c r="A4" s="144" t="s">
        <v>37</v>
      </c>
      <c r="B4" s="146" t="s">
        <v>0</v>
      </c>
      <c r="C4" s="148" t="s">
        <v>34</v>
      </c>
      <c r="D4" s="125" t="s">
        <v>126</v>
      </c>
      <c r="E4" s="126"/>
      <c r="F4" s="126"/>
      <c r="G4" s="126"/>
      <c r="H4" s="126"/>
      <c r="I4" s="126"/>
      <c r="J4" s="126"/>
      <c r="K4" s="126"/>
      <c r="L4" s="126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30" t="s">
        <v>30</v>
      </c>
      <c r="AJ4" s="132" t="s">
        <v>31</v>
      </c>
      <c r="AK4" s="133" t="s">
        <v>32</v>
      </c>
      <c r="AL4" s="135" t="s">
        <v>121</v>
      </c>
      <c r="AM4" s="137" t="s">
        <v>122</v>
      </c>
      <c r="AN4" s="139" t="s">
        <v>123</v>
      </c>
      <c r="AO4" s="128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45"/>
      <c r="B5" s="147"/>
      <c r="C5" s="149"/>
      <c r="D5" s="85">
        <v>44440</v>
      </c>
      <c r="E5" s="85">
        <v>44441</v>
      </c>
      <c r="F5" s="85">
        <v>44442</v>
      </c>
      <c r="G5" s="85">
        <v>44443</v>
      </c>
      <c r="H5" s="85">
        <v>44444</v>
      </c>
      <c r="I5" s="85">
        <v>44445</v>
      </c>
      <c r="J5" s="85">
        <v>44446</v>
      </c>
      <c r="K5" s="85">
        <v>44447</v>
      </c>
      <c r="L5" s="85">
        <v>44448</v>
      </c>
      <c r="M5" s="85">
        <v>44449</v>
      </c>
      <c r="N5" s="85">
        <v>44450</v>
      </c>
      <c r="O5" s="85">
        <v>44451</v>
      </c>
      <c r="P5" s="85">
        <v>44452</v>
      </c>
      <c r="Q5" s="85">
        <v>44453</v>
      </c>
      <c r="R5" s="85">
        <v>44454</v>
      </c>
      <c r="S5" s="85">
        <v>44455</v>
      </c>
      <c r="T5" s="85">
        <v>44456</v>
      </c>
      <c r="U5" s="85">
        <v>44457</v>
      </c>
      <c r="V5" s="85">
        <v>44458</v>
      </c>
      <c r="W5" s="85">
        <v>44459</v>
      </c>
      <c r="X5" s="85">
        <v>44460</v>
      </c>
      <c r="Y5" s="85">
        <v>44461</v>
      </c>
      <c r="Z5" s="85">
        <v>44462</v>
      </c>
      <c r="AA5" s="85">
        <v>44463</v>
      </c>
      <c r="AB5" s="85">
        <v>44464</v>
      </c>
      <c r="AC5" s="85">
        <v>44465</v>
      </c>
      <c r="AD5" s="85">
        <v>44466</v>
      </c>
      <c r="AE5" s="85">
        <v>44467</v>
      </c>
      <c r="AF5" s="85">
        <v>44468</v>
      </c>
      <c r="AG5" s="85">
        <v>44469</v>
      </c>
      <c r="AH5" s="85"/>
      <c r="AI5" s="131"/>
      <c r="AJ5" s="131"/>
      <c r="AK5" s="134"/>
      <c r="AL5" s="136"/>
      <c r="AM5" s="138"/>
      <c r="AN5" s="140"/>
      <c r="AO5" s="129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179" customFormat="1" ht="24" customHeight="1" x14ac:dyDescent="0.35">
      <c r="A6" s="167">
        <v>1</v>
      </c>
      <c r="B6" s="168" t="s">
        <v>9</v>
      </c>
      <c r="C6" s="169">
        <f>2000+199+108</f>
        <v>2307</v>
      </c>
      <c r="D6" s="44">
        <v>1</v>
      </c>
      <c r="E6" s="44">
        <v>0.5</v>
      </c>
      <c r="F6" s="44">
        <v>0</v>
      </c>
      <c r="G6" s="44">
        <v>1.5</v>
      </c>
      <c r="H6" s="44">
        <v>1.5</v>
      </c>
      <c r="I6" s="44">
        <v>1</v>
      </c>
      <c r="J6" s="44">
        <v>1</v>
      </c>
      <c r="K6" s="44">
        <v>0</v>
      </c>
      <c r="L6" s="44">
        <v>1.5</v>
      </c>
      <c r="M6" s="44">
        <v>0</v>
      </c>
      <c r="N6" s="44">
        <v>1.5</v>
      </c>
      <c r="O6" s="44">
        <v>2.5</v>
      </c>
      <c r="P6" s="44">
        <v>2.5</v>
      </c>
      <c r="Q6" s="44">
        <v>2.5</v>
      </c>
      <c r="R6" s="44">
        <v>2.5</v>
      </c>
      <c r="S6" s="44">
        <v>2.5</v>
      </c>
      <c r="T6" s="44">
        <v>0</v>
      </c>
      <c r="U6" s="44">
        <v>1.5</v>
      </c>
      <c r="V6" s="44">
        <v>1</v>
      </c>
      <c r="W6" s="44">
        <v>1.5</v>
      </c>
      <c r="X6" s="44">
        <v>1.5</v>
      </c>
      <c r="Y6" s="44">
        <v>1.5</v>
      </c>
      <c r="Z6" s="44">
        <v>1.5</v>
      </c>
      <c r="AA6" s="44">
        <v>2.5</v>
      </c>
      <c r="AB6" s="44">
        <v>1.5</v>
      </c>
      <c r="AC6" s="44">
        <v>1</v>
      </c>
      <c r="AD6" s="44">
        <v>1</v>
      </c>
      <c r="AE6" s="44">
        <v>1</v>
      </c>
      <c r="AF6" s="44">
        <v>1</v>
      </c>
      <c r="AG6" s="44">
        <v>1.5</v>
      </c>
      <c r="AH6" s="44"/>
      <c r="AI6" s="169">
        <f t="shared" ref="AI6:AI12" si="0">SUM(D6:AH6)</f>
        <v>40</v>
      </c>
      <c r="AJ6" s="170">
        <v>44440</v>
      </c>
      <c r="AK6" s="171">
        <f>1550+490+800+200+645+160+260</f>
        <v>4105</v>
      </c>
      <c r="AL6" s="180">
        <f>AK36/AI36</f>
        <v>52.442982456140349</v>
      </c>
      <c r="AM6" s="173">
        <f>AI6*AL6</f>
        <v>2097.719298245614</v>
      </c>
      <c r="AN6" s="174">
        <f>C6-AM6</f>
        <v>209.28070175438597</v>
      </c>
      <c r="AO6" s="177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178"/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  <c r="CL6" s="178"/>
      <c r="CM6" s="178"/>
      <c r="CN6" s="178"/>
      <c r="CO6" s="178"/>
      <c r="CP6" s="178"/>
      <c r="CQ6" s="178"/>
      <c r="CR6" s="178"/>
      <c r="CS6" s="178"/>
      <c r="CT6" s="178"/>
      <c r="CU6" s="178"/>
      <c r="CV6" s="178"/>
      <c r="CW6" s="178"/>
      <c r="CX6" s="178"/>
      <c r="CY6" s="178"/>
      <c r="CZ6" s="178"/>
      <c r="DA6" s="178"/>
      <c r="DB6" s="178"/>
      <c r="DC6" s="178"/>
      <c r="DD6" s="178"/>
      <c r="DE6" s="178"/>
      <c r="DF6" s="178"/>
      <c r="DG6" s="178"/>
      <c r="DH6" s="178"/>
      <c r="DI6" s="178"/>
      <c r="DJ6" s="178"/>
      <c r="DK6" s="178"/>
      <c r="DL6" s="178"/>
      <c r="DM6" s="178"/>
      <c r="DN6" s="178"/>
      <c r="DO6" s="178"/>
      <c r="DP6" s="178"/>
      <c r="DQ6" s="178"/>
      <c r="DR6" s="178"/>
      <c r="DS6" s="178"/>
      <c r="DT6" s="178"/>
      <c r="DU6" s="178"/>
      <c r="DV6" s="178"/>
      <c r="DW6" s="178"/>
      <c r="DX6" s="178"/>
      <c r="DY6" s="178"/>
      <c r="DZ6" s="178"/>
      <c r="EA6" s="178"/>
      <c r="EB6" s="178"/>
      <c r="EC6" s="178"/>
      <c r="ED6" s="178"/>
      <c r="EE6" s="178"/>
      <c r="EF6" s="178"/>
      <c r="EG6" s="178"/>
      <c r="EH6" s="178"/>
      <c r="EI6" s="178"/>
      <c r="EJ6" s="178"/>
      <c r="EK6" s="178"/>
      <c r="EL6" s="178"/>
      <c r="EM6" s="178"/>
      <c r="EN6" s="178"/>
      <c r="EO6" s="178"/>
      <c r="EP6" s="178"/>
      <c r="EQ6" s="178"/>
      <c r="ER6" s="178"/>
      <c r="ES6" s="178"/>
      <c r="ET6" s="178"/>
      <c r="EU6" s="178"/>
      <c r="EV6" s="178"/>
      <c r="EW6" s="178"/>
      <c r="EX6" s="178"/>
      <c r="EY6" s="178"/>
      <c r="EZ6" s="178"/>
      <c r="FA6" s="178"/>
      <c r="FB6" s="178"/>
      <c r="FC6" s="178"/>
      <c r="FD6" s="178"/>
      <c r="FE6" s="178"/>
      <c r="FF6" s="178"/>
      <c r="FG6" s="178"/>
      <c r="FH6" s="178"/>
      <c r="FI6" s="178"/>
      <c r="FJ6" s="178"/>
      <c r="FK6" s="178"/>
      <c r="FL6" s="178"/>
      <c r="FM6" s="178"/>
      <c r="FN6" s="178"/>
      <c r="FO6" s="178"/>
      <c r="FP6" s="178"/>
      <c r="FQ6" s="178"/>
      <c r="FR6" s="178"/>
      <c r="FS6" s="178"/>
      <c r="FT6" s="178"/>
      <c r="FU6" s="178"/>
      <c r="FV6" s="178"/>
      <c r="FW6" s="178"/>
      <c r="FX6" s="178"/>
      <c r="FY6" s="178"/>
      <c r="FZ6" s="178"/>
      <c r="GA6" s="178"/>
      <c r="GB6" s="178"/>
      <c r="GC6" s="178"/>
      <c r="GD6" s="178"/>
      <c r="GE6" s="178"/>
      <c r="GF6" s="178"/>
      <c r="GG6" s="178"/>
      <c r="GH6" s="178"/>
      <c r="GI6" s="178"/>
      <c r="GJ6" s="178"/>
      <c r="GK6" s="178"/>
      <c r="GL6" s="178"/>
      <c r="GM6" s="178"/>
      <c r="GN6" s="178"/>
      <c r="GO6" s="178"/>
      <c r="GP6" s="178"/>
      <c r="GQ6" s="178"/>
      <c r="GR6" s="178"/>
      <c r="GS6" s="178"/>
      <c r="GT6" s="178"/>
      <c r="GU6" s="178"/>
      <c r="GV6" s="178"/>
      <c r="GW6" s="178"/>
      <c r="GX6" s="178"/>
      <c r="GY6" s="178"/>
      <c r="GZ6" s="178"/>
      <c r="HA6" s="178"/>
      <c r="HB6" s="178"/>
      <c r="HC6" s="178"/>
      <c r="HD6" s="178"/>
      <c r="HE6" s="178"/>
      <c r="HF6" s="178"/>
      <c r="HG6" s="178"/>
      <c r="HH6" s="178"/>
      <c r="HI6" s="178"/>
      <c r="HJ6" s="178"/>
      <c r="HK6" s="178"/>
      <c r="HL6" s="178"/>
      <c r="HM6" s="178"/>
      <c r="HN6" s="178"/>
      <c r="HO6" s="178"/>
      <c r="HP6" s="178"/>
      <c r="HQ6" s="178"/>
      <c r="HR6" s="178"/>
      <c r="HS6" s="178"/>
      <c r="HT6" s="178"/>
      <c r="HU6" s="178"/>
      <c r="HV6" s="178"/>
      <c r="HW6" s="178"/>
      <c r="HX6" s="178"/>
      <c r="HY6" s="178"/>
      <c r="HZ6" s="178"/>
      <c r="IA6" s="178"/>
      <c r="IB6" s="178"/>
      <c r="IC6" s="178"/>
      <c r="ID6" s="178"/>
      <c r="IE6" s="178"/>
      <c r="IF6" s="178"/>
      <c r="IG6" s="178"/>
      <c r="IH6" s="178"/>
      <c r="II6" s="178"/>
      <c r="IJ6" s="178"/>
      <c r="IK6" s="178"/>
      <c r="IL6" s="178"/>
      <c r="IM6" s="178"/>
      <c r="IN6" s="178"/>
      <c r="IO6" s="178"/>
      <c r="IP6" s="178"/>
      <c r="IQ6" s="178"/>
      <c r="IR6" s="178"/>
      <c r="IS6" s="178"/>
      <c r="IT6" s="178"/>
      <c r="IU6" s="178"/>
      <c r="IV6" s="178"/>
      <c r="IW6" s="178"/>
      <c r="IX6" s="178"/>
      <c r="IY6" s="178"/>
      <c r="IZ6" s="178"/>
      <c r="JA6" s="178"/>
      <c r="JB6" s="178"/>
      <c r="JC6" s="178"/>
      <c r="JD6" s="178"/>
      <c r="JE6" s="178"/>
      <c r="JF6" s="178"/>
      <c r="JG6" s="178"/>
      <c r="JH6" s="178"/>
      <c r="JI6" s="178"/>
      <c r="JJ6" s="178"/>
      <c r="JK6" s="178"/>
      <c r="JL6" s="178"/>
      <c r="JM6" s="178"/>
      <c r="JN6" s="178"/>
      <c r="JO6" s="178"/>
      <c r="JP6" s="178"/>
      <c r="JQ6" s="178"/>
      <c r="JR6" s="178"/>
      <c r="JS6" s="178"/>
      <c r="JT6" s="178"/>
      <c r="JU6" s="178"/>
      <c r="JV6" s="178"/>
      <c r="JW6" s="178"/>
      <c r="JX6" s="178"/>
      <c r="JY6" s="178"/>
      <c r="JZ6" s="178"/>
      <c r="KA6" s="178"/>
      <c r="KB6" s="178"/>
      <c r="KC6" s="178"/>
      <c r="KD6" s="178"/>
      <c r="KE6" s="178"/>
      <c r="KF6" s="178"/>
      <c r="KG6" s="178"/>
      <c r="KH6" s="178"/>
      <c r="KI6" s="178"/>
      <c r="KJ6" s="178"/>
      <c r="KK6" s="178"/>
      <c r="KL6" s="178"/>
      <c r="KM6" s="178"/>
      <c r="KN6" s="178"/>
      <c r="KO6" s="178"/>
      <c r="KP6" s="178"/>
      <c r="KQ6" s="178"/>
      <c r="KR6" s="178"/>
      <c r="KS6" s="178"/>
      <c r="KT6" s="178"/>
      <c r="KU6" s="178"/>
      <c r="KV6" s="178"/>
      <c r="KW6" s="178"/>
      <c r="KX6" s="178"/>
      <c r="KY6" s="178"/>
      <c r="KZ6" s="178"/>
      <c r="LA6" s="178"/>
      <c r="LB6" s="178"/>
      <c r="LC6" s="178"/>
      <c r="LD6" s="178"/>
      <c r="LE6" s="178"/>
      <c r="LF6" s="178"/>
      <c r="LG6" s="178"/>
      <c r="LH6" s="178"/>
      <c r="LI6" s="178"/>
      <c r="LJ6" s="178"/>
      <c r="LK6" s="178"/>
      <c r="LL6" s="178"/>
      <c r="LM6" s="178"/>
      <c r="LN6" s="178"/>
      <c r="LO6" s="178"/>
      <c r="LP6" s="178"/>
      <c r="LQ6" s="178"/>
      <c r="LR6" s="178"/>
      <c r="LS6" s="178"/>
      <c r="LT6" s="178"/>
      <c r="LU6" s="178"/>
      <c r="LV6" s="178"/>
      <c r="LW6" s="178"/>
      <c r="LX6" s="178"/>
      <c r="LY6" s="178"/>
      <c r="LZ6" s="178"/>
      <c r="MA6" s="178"/>
      <c r="MB6" s="178"/>
      <c r="MC6" s="178"/>
      <c r="MD6" s="178"/>
      <c r="ME6" s="178"/>
      <c r="MF6" s="178"/>
      <c r="MG6" s="178"/>
      <c r="MH6" s="178"/>
      <c r="MI6" s="178"/>
      <c r="MJ6" s="178"/>
      <c r="MK6" s="178"/>
      <c r="ML6" s="178"/>
      <c r="MM6" s="178"/>
      <c r="MN6" s="178"/>
      <c r="MO6" s="178"/>
      <c r="MP6" s="178"/>
      <c r="MQ6" s="178"/>
      <c r="MR6" s="178"/>
      <c r="MS6" s="178"/>
      <c r="MT6" s="178"/>
      <c r="MU6" s="178"/>
      <c r="MV6" s="178"/>
      <c r="MW6" s="178"/>
      <c r="MX6" s="178"/>
      <c r="MY6" s="178"/>
      <c r="MZ6" s="178"/>
      <c r="NA6" s="178"/>
      <c r="NB6" s="178"/>
      <c r="NC6" s="178"/>
      <c r="ND6" s="178"/>
      <c r="NE6" s="178"/>
      <c r="NF6" s="178"/>
      <c r="NG6" s="178"/>
      <c r="NH6" s="178"/>
      <c r="NI6" s="178"/>
      <c r="NJ6" s="178"/>
      <c r="NK6" s="178"/>
      <c r="NL6" s="178"/>
      <c r="NM6" s="178"/>
      <c r="NN6" s="178"/>
      <c r="NO6" s="178"/>
      <c r="NP6" s="178"/>
      <c r="NQ6" s="178"/>
      <c r="NR6" s="178"/>
      <c r="NS6" s="178"/>
      <c r="NT6" s="178"/>
      <c r="NU6" s="178"/>
      <c r="NV6" s="178"/>
      <c r="NW6" s="178"/>
      <c r="NX6" s="178"/>
      <c r="NY6" s="178"/>
      <c r="NZ6" s="178"/>
      <c r="OA6" s="178"/>
      <c r="OB6" s="178"/>
      <c r="OC6" s="178"/>
      <c r="OD6" s="178"/>
      <c r="OE6" s="178"/>
      <c r="OF6" s="178"/>
      <c r="OG6" s="178"/>
      <c r="OH6" s="178"/>
      <c r="OI6" s="178"/>
      <c r="OJ6" s="178"/>
      <c r="OK6" s="178"/>
      <c r="OL6" s="178"/>
      <c r="OM6" s="178"/>
      <c r="ON6" s="178"/>
      <c r="OO6" s="178"/>
      <c r="OP6" s="178"/>
      <c r="OQ6" s="178"/>
      <c r="OR6" s="178"/>
      <c r="OS6" s="178"/>
      <c r="OT6" s="178"/>
      <c r="OU6" s="178"/>
      <c r="OV6" s="178"/>
      <c r="OW6" s="178"/>
      <c r="OX6" s="178"/>
      <c r="OY6" s="178"/>
      <c r="OZ6" s="178"/>
      <c r="PA6" s="178"/>
      <c r="PB6" s="178"/>
      <c r="PC6" s="178"/>
      <c r="PD6" s="178"/>
      <c r="PE6" s="178"/>
      <c r="PF6" s="178"/>
      <c r="PG6" s="178"/>
      <c r="PH6" s="178"/>
      <c r="PI6" s="178"/>
      <c r="PJ6" s="178"/>
      <c r="PK6" s="178"/>
      <c r="PL6" s="178"/>
      <c r="PM6" s="178"/>
      <c r="PN6" s="178"/>
      <c r="PO6" s="178"/>
      <c r="PP6" s="178"/>
      <c r="PQ6" s="178"/>
      <c r="PR6" s="178"/>
      <c r="PS6" s="178"/>
      <c r="PT6" s="178"/>
      <c r="PU6" s="178"/>
      <c r="PV6" s="178"/>
      <c r="PW6" s="178"/>
      <c r="PX6" s="178"/>
      <c r="PY6" s="178"/>
      <c r="PZ6" s="178"/>
      <c r="QA6" s="178"/>
      <c r="QB6" s="178"/>
      <c r="QC6" s="178"/>
      <c r="QD6" s="178"/>
      <c r="QE6" s="178"/>
      <c r="QF6" s="178"/>
      <c r="QG6" s="178"/>
      <c r="QH6" s="178"/>
      <c r="QI6" s="178"/>
      <c r="QJ6" s="178"/>
      <c r="QK6" s="178"/>
      <c r="QL6" s="178"/>
      <c r="QM6" s="178"/>
      <c r="QN6" s="178"/>
      <c r="QO6" s="178"/>
      <c r="QP6" s="178"/>
      <c r="QQ6" s="178"/>
      <c r="QR6" s="178"/>
      <c r="QS6" s="178"/>
      <c r="QT6" s="178"/>
      <c r="QU6" s="178"/>
      <c r="QV6" s="178"/>
      <c r="QW6" s="178"/>
      <c r="QX6" s="178"/>
      <c r="QY6" s="178"/>
      <c r="QZ6" s="178"/>
      <c r="RA6" s="178"/>
      <c r="RB6" s="178"/>
      <c r="RC6" s="178"/>
      <c r="RD6" s="178"/>
      <c r="RE6" s="178"/>
      <c r="RF6" s="178"/>
      <c r="RG6" s="178"/>
      <c r="RH6" s="178"/>
      <c r="RI6" s="178"/>
      <c r="RJ6" s="178"/>
      <c r="RK6" s="178"/>
      <c r="RL6" s="178"/>
      <c r="RM6" s="178"/>
      <c r="RN6" s="178"/>
      <c r="RO6" s="178"/>
      <c r="RP6" s="178"/>
      <c r="RQ6" s="178"/>
      <c r="RR6" s="178"/>
      <c r="RS6" s="178"/>
      <c r="RT6" s="178"/>
      <c r="RU6" s="178"/>
      <c r="RV6" s="178"/>
      <c r="RW6" s="178"/>
      <c r="RX6" s="178"/>
      <c r="RY6" s="178"/>
      <c r="RZ6" s="178"/>
      <c r="SA6" s="178"/>
      <c r="SB6" s="178"/>
      <c r="SC6" s="178"/>
      <c r="SD6" s="178"/>
      <c r="SE6" s="178"/>
      <c r="SF6" s="178"/>
      <c r="SG6" s="178"/>
      <c r="SH6" s="178"/>
      <c r="SI6" s="178"/>
      <c r="SJ6" s="178"/>
      <c r="SK6" s="178"/>
      <c r="SL6" s="178"/>
      <c r="SM6" s="178"/>
      <c r="SN6" s="178"/>
      <c r="SO6" s="178"/>
      <c r="SP6" s="178"/>
      <c r="SQ6" s="178"/>
      <c r="SR6" s="178"/>
      <c r="SS6" s="178"/>
      <c r="ST6" s="178"/>
      <c r="SU6" s="178"/>
      <c r="SV6" s="178"/>
      <c r="SW6" s="178"/>
      <c r="SX6" s="178"/>
      <c r="SY6" s="178"/>
      <c r="SZ6" s="178"/>
      <c r="TA6" s="178"/>
      <c r="TB6" s="178"/>
      <c r="TC6" s="178"/>
      <c r="TD6" s="178"/>
      <c r="TE6" s="178"/>
      <c r="TF6" s="178"/>
      <c r="TG6" s="178"/>
      <c r="TH6" s="178"/>
      <c r="TI6" s="178"/>
      <c r="TJ6" s="178"/>
      <c r="TK6" s="178"/>
      <c r="TL6" s="178"/>
      <c r="TM6" s="178"/>
      <c r="TN6" s="178"/>
      <c r="TO6" s="178"/>
      <c r="TP6" s="178"/>
      <c r="TQ6" s="178"/>
      <c r="TR6" s="178"/>
      <c r="TS6" s="178"/>
      <c r="TT6" s="178"/>
      <c r="TU6" s="178"/>
      <c r="TV6" s="178"/>
      <c r="TW6" s="178"/>
      <c r="TX6" s="178"/>
      <c r="TY6" s="178"/>
      <c r="TZ6" s="178"/>
      <c r="UA6" s="178"/>
      <c r="UB6" s="178"/>
      <c r="UC6" s="178"/>
      <c r="UD6" s="178"/>
      <c r="UE6" s="178"/>
      <c r="UF6" s="178"/>
      <c r="UG6" s="178"/>
      <c r="UH6" s="178"/>
      <c r="UI6" s="178"/>
      <c r="UJ6" s="178"/>
      <c r="UK6" s="178"/>
      <c r="UL6" s="178"/>
      <c r="UM6" s="178"/>
      <c r="UN6" s="178"/>
      <c r="UO6" s="178"/>
      <c r="UP6" s="178"/>
      <c r="UQ6" s="178"/>
      <c r="UR6" s="178"/>
      <c r="US6" s="178"/>
      <c r="UT6" s="178"/>
      <c r="UU6" s="178"/>
      <c r="UV6" s="178"/>
      <c r="UW6" s="178"/>
      <c r="UX6" s="178"/>
      <c r="UY6" s="178"/>
      <c r="UZ6" s="178"/>
      <c r="VA6" s="178"/>
      <c r="VB6" s="178"/>
      <c r="VC6" s="178"/>
      <c r="VD6" s="178"/>
      <c r="VE6" s="178"/>
      <c r="VF6" s="178"/>
      <c r="VG6" s="178"/>
      <c r="VH6" s="178"/>
      <c r="VI6" s="178"/>
      <c r="VJ6" s="178"/>
      <c r="VK6" s="178"/>
      <c r="VL6" s="178"/>
      <c r="VM6" s="178"/>
      <c r="VN6" s="178"/>
      <c r="VO6" s="178"/>
      <c r="VP6" s="178"/>
      <c r="VQ6" s="178"/>
      <c r="VR6" s="178"/>
      <c r="VS6" s="178"/>
      <c r="VT6" s="178"/>
      <c r="VU6" s="178"/>
      <c r="VV6" s="178"/>
      <c r="VW6" s="178"/>
      <c r="VX6" s="178"/>
      <c r="VY6" s="178"/>
      <c r="VZ6" s="178"/>
      <c r="WA6" s="178"/>
      <c r="WB6" s="178"/>
      <c r="WC6" s="178"/>
      <c r="WD6" s="178"/>
      <c r="WE6" s="178"/>
      <c r="WF6" s="178"/>
      <c r="WG6" s="178"/>
      <c r="WH6" s="178"/>
      <c r="WI6" s="178"/>
      <c r="WJ6" s="178"/>
      <c r="WK6" s="178"/>
      <c r="WL6" s="178"/>
      <c r="WM6" s="178"/>
      <c r="WN6" s="178"/>
      <c r="WO6" s="178"/>
      <c r="WP6" s="178"/>
      <c r="WQ6" s="178"/>
      <c r="WR6" s="178"/>
      <c r="WS6" s="178"/>
      <c r="WT6" s="178"/>
      <c r="WU6" s="178"/>
      <c r="WV6" s="178"/>
      <c r="WW6" s="178"/>
      <c r="WX6" s="178"/>
      <c r="WY6" s="178"/>
      <c r="WZ6" s="178"/>
      <c r="XA6" s="178"/>
      <c r="XB6" s="178"/>
      <c r="XC6" s="178"/>
      <c r="XD6" s="178"/>
      <c r="XE6" s="178"/>
      <c r="XF6" s="178"/>
      <c r="XG6" s="178"/>
      <c r="XH6" s="178"/>
      <c r="XI6" s="178"/>
      <c r="XJ6" s="178"/>
      <c r="XK6" s="178"/>
      <c r="XL6" s="178"/>
      <c r="XM6" s="178"/>
      <c r="XN6" s="178"/>
      <c r="XO6" s="178"/>
      <c r="XP6" s="178"/>
      <c r="XQ6" s="178"/>
      <c r="XR6" s="178"/>
      <c r="XS6" s="178"/>
      <c r="XT6" s="178"/>
      <c r="XU6" s="178"/>
      <c r="XV6" s="178"/>
      <c r="XW6" s="178"/>
      <c r="XX6" s="178"/>
      <c r="XY6" s="178"/>
      <c r="XZ6" s="178"/>
      <c r="YA6" s="178"/>
      <c r="YB6" s="178"/>
      <c r="YC6" s="178"/>
      <c r="YD6" s="178"/>
      <c r="YE6" s="178"/>
      <c r="YF6" s="178"/>
      <c r="YG6" s="178"/>
      <c r="YH6" s="178"/>
      <c r="YI6" s="178"/>
      <c r="YJ6" s="178"/>
      <c r="YK6" s="178"/>
      <c r="YL6" s="178"/>
      <c r="YM6" s="178"/>
      <c r="YN6" s="178"/>
      <c r="YO6" s="178"/>
      <c r="YP6" s="178"/>
      <c r="YQ6" s="178"/>
      <c r="YR6" s="178"/>
      <c r="YS6" s="178"/>
      <c r="YT6" s="178"/>
      <c r="YU6" s="178"/>
      <c r="YV6" s="178"/>
      <c r="YW6" s="178"/>
      <c r="YX6" s="178"/>
      <c r="YY6" s="178"/>
      <c r="YZ6" s="178"/>
      <c r="ZA6" s="178"/>
      <c r="ZB6" s="178"/>
      <c r="ZC6" s="178"/>
      <c r="ZD6" s="178"/>
      <c r="ZE6" s="178"/>
      <c r="ZF6" s="178"/>
      <c r="ZG6" s="178"/>
      <c r="ZH6" s="178"/>
      <c r="ZI6" s="178"/>
      <c r="ZJ6" s="178"/>
      <c r="ZK6" s="178"/>
      <c r="ZL6" s="178"/>
      <c r="ZM6" s="178"/>
      <c r="ZN6" s="178"/>
      <c r="ZO6" s="178"/>
      <c r="ZP6" s="178"/>
      <c r="ZQ6" s="178"/>
      <c r="ZR6" s="178"/>
      <c r="ZS6" s="178"/>
      <c r="ZT6" s="178"/>
      <c r="ZU6" s="178"/>
      <c r="ZV6" s="178"/>
      <c r="ZW6" s="178"/>
      <c r="ZX6" s="178"/>
      <c r="ZY6" s="178"/>
      <c r="ZZ6" s="178"/>
      <c r="AAA6" s="178"/>
      <c r="AAB6" s="178"/>
      <c r="AAC6" s="178"/>
      <c r="AAD6" s="178"/>
      <c r="AAE6" s="178"/>
      <c r="AAF6" s="178"/>
      <c r="AAG6" s="178"/>
      <c r="AAH6" s="178"/>
      <c r="AAI6" s="178"/>
      <c r="AAJ6" s="178"/>
      <c r="AAK6" s="178"/>
      <c r="AAL6" s="178"/>
      <c r="AAM6" s="178"/>
      <c r="AAN6" s="178"/>
      <c r="AAO6" s="178"/>
      <c r="AAP6" s="178"/>
      <c r="AAQ6" s="178"/>
      <c r="AAR6" s="178"/>
      <c r="AAS6" s="178"/>
      <c r="AAT6" s="178"/>
      <c r="AAU6" s="178"/>
      <c r="AAV6" s="178"/>
      <c r="AAW6" s="178"/>
      <c r="AAX6" s="178"/>
      <c r="AAY6" s="178"/>
      <c r="AAZ6" s="178"/>
      <c r="ABA6" s="178"/>
      <c r="ABB6" s="178"/>
      <c r="ABC6" s="178"/>
      <c r="ABD6" s="178"/>
      <c r="ABE6" s="178"/>
      <c r="ABF6" s="178"/>
      <c r="ABG6" s="178"/>
      <c r="ABH6" s="178"/>
      <c r="ABI6" s="178"/>
      <c r="ABJ6" s="178"/>
      <c r="ABK6" s="178"/>
      <c r="ABL6" s="178"/>
      <c r="ABM6" s="178"/>
      <c r="ABN6" s="178"/>
      <c r="ABO6" s="178"/>
      <c r="ABP6" s="178"/>
      <c r="ABQ6" s="178"/>
      <c r="ABR6" s="178"/>
      <c r="ABS6" s="178"/>
      <c r="ABT6" s="178"/>
      <c r="ABU6" s="178"/>
      <c r="ABV6" s="178"/>
      <c r="ABW6" s="178"/>
      <c r="ABX6" s="178"/>
      <c r="ABY6" s="178"/>
      <c r="ABZ6" s="178"/>
      <c r="ACA6" s="178"/>
      <c r="ACB6" s="178"/>
      <c r="ACC6" s="178"/>
      <c r="ACD6" s="178"/>
      <c r="ACE6" s="178"/>
      <c r="ACF6" s="178"/>
      <c r="ACG6" s="178"/>
      <c r="ACH6" s="178"/>
      <c r="ACI6" s="178"/>
      <c r="ACJ6" s="178"/>
      <c r="ACK6" s="178"/>
      <c r="ACL6" s="178"/>
      <c r="ACM6" s="178"/>
      <c r="ACN6" s="178"/>
      <c r="ACO6" s="178"/>
      <c r="ACP6" s="178"/>
      <c r="ACQ6" s="178"/>
      <c r="ACR6" s="178"/>
      <c r="ACS6" s="178"/>
      <c r="ACT6" s="178"/>
      <c r="ACU6" s="178"/>
      <c r="ACV6" s="178"/>
      <c r="ACW6" s="178"/>
      <c r="ACX6" s="178"/>
      <c r="ACY6" s="178"/>
      <c r="ACZ6" s="178"/>
      <c r="ADA6" s="178"/>
      <c r="ADB6" s="178"/>
      <c r="ADC6" s="178"/>
      <c r="ADD6" s="178"/>
      <c r="ADE6" s="178"/>
      <c r="ADF6" s="178"/>
      <c r="ADG6" s="178"/>
      <c r="ADH6" s="178"/>
      <c r="ADI6" s="178"/>
      <c r="ADJ6" s="178"/>
      <c r="ADK6" s="178"/>
      <c r="ADL6" s="178"/>
      <c r="ADM6" s="178"/>
      <c r="ADN6" s="178"/>
      <c r="ADO6" s="178"/>
      <c r="ADP6" s="178"/>
      <c r="ADQ6" s="178"/>
      <c r="ADR6" s="178"/>
      <c r="ADS6" s="178"/>
      <c r="ADT6" s="178"/>
      <c r="ADU6" s="178"/>
      <c r="ADV6" s="178"/>
      <c r="ADW6" s="178"/>
      <c r="ADX6" s="178"/>
      <c r="ADY6" s="178"/>
      <c r="ADZ6" s="178"/>
      <c r="AEA6" s="178"/>
      <c r="AEB6" s="178"/>
      <c r="AEC6" s="178"/>
      <c r="AED6" s="178"/>
      <c r="AEE6" s="178"/>
      <c r="AEF6" s="178"/>
      <c r="AEG6" s="178"/>
      <c r="AEH6" s="178"/>
      <c r="AEI6" s="178"/>
      <c r="AEJ6" s="178"/>
      <c r="AEK6" s="178"/>
      <c r="AEL6" s="178"/>
      <c r="AEM6" s="178"/>
      <c r="AEN6" s="178"/>
      <c r="AEO6" s="178"/>
      <c r="AEP6" s="178"/>
      <c r="AEQ6" s="178"/>
      <c r="AER6" s="178"/>
      <c r="AES6" s="178"/>
      <c r="AET6" s="178"/>
      <c r="AEU6" s="178"/>
      <c r="AEV6" s="178"/>
      <c r="AEW6" s="178"/>
      <c r="AEX6" s="178"/>
      <c r="AEY6" s="178"/>
      <c r="AEZ6" s="178"/>
      <c r="AFA6" s="178"/>
      <c r="AFB6" s="178"/>
      <c r="AFC6" s="178"/>
      <c r="AFD6" s="178"/>
      <c r="AFE6" s="178"/>
      <c r="AFF6" s="178"/>
      <c r="AFG6" s="178"/>
      <c r="AFH6" s="178"/>
      <c r="AFI6" s="178"/>
      <c r="AFJ6" s="178"/>
      <c r="AFK6" s="178"/>
      <c r="AFL6" s="178"/>
      <c r="AFM6" s="178"/>
      <c r="AFN6" s="178"/>
      <c r="AFO6" s="178"/>
      <c r="AFP6" s="178"/>
      <c r="AFQ6" s="178"/>
      <c r="AFR6" s="178"/>
      <c r="AFS6" s="178"/>
      <c r="AFT6" s="178"/>
      <c r="AFU6" s="178"/>
      <c r="AFV6" s="178"/>
      <c r="AFW6" s="178"/>
      <c r="AFX6" s="178"/>
      <c r="AFY6" s="178"/>
      <c r="AFZ6" s="178"/>
      <c r="AGA6" s="178"/>
      <c r="AGB6" s="178"/>
      <c r="AGC6" s="178"/>
      <c r="AGD6" s="178"/>
      <c r="AGE6" s="178"/>
      <c r="AGF6" s="178"/>
      <c r="AGG6" s="178"/>
      <c r="AGH6" s="178"/>
      <c r="AGI6" s="178"/>
      <c r="AGJ6" s="178"/>
      <c r="AGK6" s="178"/>
      <c r="AGL6" s="178"/>
      <c r="AGM6" s="178"/>
      <c r="AGN6" s="178"/>
      <c r="AGO6" s="178"/>
      <c r="AGP6" s="178"/>
      <c r="AGQ6" s="178"/>
      <c r="AGR6" s="178"/>
      <c r="AGS6" s="178"/>
      <c r="AGT6" s="178"/>
      <c r="AGU6" s="178"/>
      <c r="AGV6" s="178"/>
      <c r="AGW6" s="178"/>
      <c r="AGX6" s="178"/>
      <c r="AGY6" s="178"/>
      <c r="AGZ6" s="178"/>
      <c r="AHA6" s="178"/>
      <c r="AHB6" s="178"/>
      <c r="AHC6" s="178"/>
      <c r="AHD6" s="178"/>
      <c r="AHE6" s="178"/>
      <c r="AHF6" s="178"/>
      <c r="AHG6" s="178"/>
      <c r="AHH6" s="178"/>
      <c r="AHI6" s="178"/>
      <c r="AHJ6" s="178"/>
      <c r="AHK6" s="178"/>
      <c r="AHL6" s="178"/>
      <c r="AHM6" s="178"/>
      <c r="AHN6" s="178"/>
      <c r="AHO6" s="178"/>
      <c r="AHP6" s="178"/>
      <c r="AHQ6" s="178"/>
      <c r="AHR6" s="178"/>
      <c r="AHS6" s="178"/>
      <c r="AHT6" s="178"/>
      <c r="AHU6" s="178"/>
      <c r="AHV6" s="178"/>
      <c r="AHW6" s="178"/>
      <c r="AHX6" s="178"/>
      <c r="AHY6" s="178"/>
      <c r="AHZ6" s="178"/>
      <c r="AIA6" s="178"/>
      <c r="AIB6" s="178"/>
      <c r="AIC6" s="178"/>
      <c r="AID6" s="178"/>
      <c r="AIE6" s="178"/>
      <c r="AIF6" s="178"/>
      <c r="AIG6" s="178"/>
      <c r="AIH6" s="178"/>
      <c r="AII6" s="178"/>
      <c r="AIJ6" s="178"/>
      <c r="AIK6" s="178"/>
      <c r="AIL6" s="178"/>
      <c r="AIM6" s="178"/>
      <c r="AIN6" s="178"/>
      <c r="AIO6" s="178"/>
      <c r="AIP6" s="178"/>
      <c r="AIQ6" s="178"/>
      <c r="AIR6" s="178"/>
      <c r="AIS6" s="178"/>
      <c r="AIT6" s="178"/>
      <c r="AIU6" s="178"/>
      <c r="AIV6" s="178"/>
      <c r="AIW6" s="178"/>
      <c r="AIX6" s="178"/>
      <c r="AIY6" s="178"/>
      <c r="AIZ6" s="178"/>
      <c r="AJA6" s="178"/>
      <c r="AJB6" s="178"/>
      <c r="AJC6" s="178"/>
      <c r="AJD6" s="178"/>
      <c r="AJE6" s="178"/>
      <c r="AJF6" s="178"/>
      <c r="AJG6" s="178"/>
      <c r="AJH6" s="178"/>
      <c r="AJI6" s="178"/>
      <c r="AJJ6" s="178"/>
      <c r="AJK6" s="178"/>
      <c r="AJL6" s="178"/>
      <c r="AJM6" s="178"/>
      <c r="AJN6" s="178"/>
      <c r="AJO6" s="178"/>
      <c r="AJP6" s="178"/>
      <c r="AJQ6" s="178"/>
      <c r="AJR6" s="178"/>
      <c r="AJS6" s="178"/>
      <c r="AJT6" s="178"/>
      <c r="AJU6" s="178"/>
      <c r="AJV6" s="178"/>
      <c r="AJW6" s="178"/>
      <c r="AJX6" s="178"/>
      <c r="AJY6" s="178"/>
      <c r="AJZ6" s="178"/>
      <c r="AKA6" s="178"/>
      <c r="AKB6" s="178"/>
      <c r="AKC6" s="178"/>
      <c r="AKD6" s="178"/>
      <c r="AKE6" s="178"/>
      <c r="AKF6" s="178"/>
      <c r="AKG6" s="178"/>
      <c r="AKH6" s="178"/>
      <c r="AKI6" s="178"/>
      <c r="AKJ6" s="178"/>
      <c r="AKK6" s="178"/>
      <c r="AKL6" s="178"/>
      <c r="AKM6" s="178"/>
      <c r="AKN6" s="178"/>
      <c r="AKO6" s="178"/>
      <c r="AKP6" s="178"/>
      <c r="AKQ6" s="178"/>
      <c r="AKR6" s="178"/>
      <c r="AKS6" s="178"/>
      <c r="AKT6" s="178"/>
      <c r="AKU6" s="178"/>
      <c r="AKV6" s="178"/>
      <c r="AKW6" s="178"/>
      <c r="AKX6" s="178"/>
      <c r="AKY6" s="178"/>
      <c r="AKZ6" s="178"/>
      <c r="ALA6" s="178"/>
      <c r="ALB6" s="178"/>
      <c r="ALC6" s="178"/>
      <c r="ALD6" s="178"/>
      <c r="ALE6" s="178"/>
      <c r="ALF6" s="178"/>
      <c r="ALG6" s="178"/>
      <c r="ALH6" s="178"/>
      <c r="ALI6" s="178"/>
      <c r="ALJ6" s="178"/>
      <c r="ALK6" s="178"/>
      <c r="ALL6" s="178"/>
      <c r="ALM6" s="178"/>
      <c r="ALN6" s="178"/>
      <c r="ALO6" s="178"/>
      <c r="ALP6" s="178"/>
      <c r="ALQ6" s="178"/>
      <c r="ALR6" s="178"/>
      <c r="ALS6" s="178"/>
      <c r="ALT6" s="178"/>
      <c r="ALU6" s="178"/>
      <c r="ALV6" s="178"/>
      <c r="ALW6" s="178"/>
      <c r="ALX6" s="178"/>
      <c r="ALY6" s="178"/>
      <c r="ALZ6" s="178"/>
      <c r="AMA6" s="178"/>
      <c r="AMB6" s="178"/>
      <c r="AMC6" s="178"/>
      <c r="AMD6" s="178"/>
      <c r="AME6" s="178"/>
      <c r="AMF6" s="178"/>
      <c r="AMG6" s="178"/>
      <c r="AMH6" s="178"/>
      <c r="AMI6" s="178"/>
      <c r="AMJ6" s="178"/>
      <c r="AMK6" s="178"/>
      <c r="AML6" s="178"/>
      <c r="AMM6" s="178"/>
      <c r="AMN6" s="178"/>
      <c r="AMO6" s="178"/>
      <c r="AMP6" s="178"/>
      <c r="AMQ6" s="178"/>
      <c r="AMR6" s="178"/>
      <c r="AMS6" s="178"/>
      <c r="AMT6" s="178"/>
      <c r="AMU6" s="178"/>
      <c r="AMV6" s="178"/>
      <c r="AMW6" s="178"/>
      <c r="AMX6" s="178"/>
      <c r="AMY6" s="178"/>
      <c r="AMZ6" s="178"/>
      <c r="ANA6" s="178"/>
      <c r="ANB6" s="178"/>
      <c r="ANC6" s="178"/>
      <c r="AND6" s="178"/>
      <c r="ANE6" s="178"/>
      <c r="ANF6" s="178"/>
      <c r="ANG6" s="178"/>
      <c r="ANH6" s="178"/>
      <c r="ANI6" s="178"/>
      <c r="ANJ6" s="178"/>
      <c r="ANK6" s="178"/>
      <c r="ANL6" s="178"/>
      <c r="ANM6" s="178"/>
      <c r="ANN6" s="178"/>
      <c r="ANO6" s="178"/>
      <c r="ANP6" s="178"/>
      <c r="ANQ6" s="178"/>
      <c r="ANR6" s="178"/>
      <c r="ANS6" s="178"/>
      <c r="ANT6" s="178"/>
      <c r="ANU6" s="178"/>
      <c r="ANV6" s="178"/>
      <c r="ANW6" s="178"/>
      <c r="ANX6" s="178"/>
      <c r="ANY6" s="178"/>
      <c r="ANZ6" s="178"/>
      <c r="AOA6" s="178"/>
      <c r="AOB6" s="178"/>
      <c r="AOC6" s="178"/>
      <c r="AOD6" s="178"/>
      <c r="AOE6" s="178"/>
      <c r="AOF6" s="178"/>
      <c r="AOG6" s="178"/>
      <c r="AOH6" s="178"/>
      <c r="AOI6" s="178"/>
      <c r="AOJ6" s="178"/>
      <c r="AOK6" s="178"/>
      <c r="AOL6" s="178"/>
      <c r="AOM6" s="178"/>
      <c r="AON6" s="178"/>
      <c r="AOO6" s="178"/>
      <c r="AOP6" s="178"/>
      <c r="AOQ6" s="178"/>
      <c r="AOR6" s="178"/>
      <c r="AOS6" s="178"/>
      <c r="AOT6" s="178"/>
      <c r="AOU6" s="178"/>
      <c r="AOV6" s="178"/>
      <c r="AOW6" s="178"/>
      <c r="AOX6" s="178"/>
      <c r="AOY6" s="178"/>
      <c r="AOZ6" s="178"/>
      <c r="APA6" s="178"/>
      <c r="APB6" s="178"/>
      <c r="APC6" s="178"/>
      <c r="APD6" s="178"/>
      <c r="APE6" s="178"/>
      <c r="APF6" s="178"/>
      <c r="APG6" s="178"/>
      <c r="APH6" s="178"/>
      <c r="API6" s="178"/>
      <c r="APJ6" s="178"/>
      <c r="APK6" s="178"/>
      <c r="APL6" s="178"/>
      <c r="APM6" s="178"/>
      <c r="APN6" s="178"/>
      <c r="APO6" s="178"/>
      <c r="APP6" s="178"/>
      <c r="APQ6" s="178"/>
      <c r="APR6" s="178"/>
      <c r="APS6" s="178"/>
      <c r="APT6" s="178"/>
      <c r="APU6" s="178"/>
      <c r="APV6" s="178"/>
      <c r="APW6" s="178"/>
      <c r="APX6" s="178"/>
      <c r="APY6" s="178"/>
      <c r="APZ6" s="178"/>
      <c r="AQA6" s="178"/>
      <c r="AQB6" s="178"/>
      <c r="AQC6" s="178"/>
      <c r="AQD6" s="178"/>
      <c r="AQE6" s="178"/>
      <c r="AQF6" s="178"/>
      <c r="AQG6" s="178"/>
      <c r="AQH6" s="178"/>
      <c r="AQI6" s="178"/>
      <c r="AQJ6" s="178"/>
      <c r="AQK6" s="178"/>
      <c r="AQL6" s="178"/>
      <c r="AQM6" s="178"/>
      <c r="AQN6" s="178"/>
      <c r="AQO6" s="178"/>
      <c r="AQP6" s="178"/>
      <c r="AQQ6" s="178"/>
      <c r="AQR6" s="178"/>
      <c r="AQS6" s="178"/>
      <c r="AQT6" s="178"/>
      <c r="AQU6" s="178"/>
      <c r="AQV6" s="178"/>
      <c r="AQW6" s="178"/>
      <c r="AQX6" s="178"/>
      <c r="AQY6" s="178"/>
      <c r="AQZ6" s="178"/>
      <c r="ARA6" s="178"/>
      <c r="ARB6" s="178"/>
      <c r="ARC6" s="178"/>
      <c r="ARD6" s="178"/>
      <c r="ARE6" s="178"/>
      <c r="ARF6" s="178"/>
      <c r="ARG6" s="178"/>
      <c r="ARH6" s="178"/>
      <c r="ARI6" s="178"/>
      <c r="ARJ6" s="178"/>
      <c r="ARK6" s="178"/>
      <c r="ARL6" s="178"/>
      <c r="ARM6" s="178"/>
      <c r="ARN6" s="178"/>
      <c r="ARO6" s="178"/>
      <c r="ARP6" s="178"/>
      <c r="ARQ6" s="178"/>
      <c r="ARR6" s="178"/>
      <c r="ARS6" s="178"/>
      <c r="ART6" s="178"/>
      <c r="ARU6" s="178"/>
      <c r="ARV6" s="178"/>
      <c r="ARW6" s="178"/>
      <c r="ARX6" s="178"/>
      <c r="ARY6" s="178"/>
      <c r="ARZ6" s="178"/>
      <c r="ASA6" s="178"/>
      <c r="ASB6" s="178"/>
      <c r="ASC6" s="178"/>
      <c r="ASD6" s="178"/>
      <c r="ASE6" s="178"/>
      <c r="ASF6" s="178"/>
      <c r="ASG6" s="178"/>
      <c r="ASH6" s="178"/>
      <c r="ASI6" s="178"/>
      <c r="ASJ6" s="178"/>
      <c r="ASK6" s="178"/>
      <c r="ASL6" s="178"/>
      <c r="ASM6" s="178"/>
      <c r="ASN6" s="178"/>
      <c r="ASO6" s="178"/>
      <c r="ASP6" s="178"/>
      <c r="ASQ6" s="178"/>
      <c r="ASR6" s="178"/>
      <c r="ASS6" s="178"/>
      <c r="AST6" s="178"/>
      <c r="ASU6" s="178"/>
      <c r="ASV6" s="178"/>
      <c r="ASW6" s="178"/>
      <c r="ASX6" s="178"/>
      <c r="ASY6" s="178"/>
      <c r="ASZ6" s="178"/>
      <c r="ATA6" s="178"/>
      <c r="ATB6" s="178"/>
      <c r="ATC6" s="178"/>
      <c r="ATD6" s="178"/>
      <c r="ATE6" s="178"/>
      <c r="ATF6" s="178"/>
      <c r="ATG6" s="178"/>
      <c r="ATH6" s="178"/>
      <c r="ATI6" s="178"/>
      <c r="ATJ6" s="178"/>
      <c r="ATK6" s="178"/>
      <c r="ATL6" s="178"/>
      <c r="ATM6" s="178"/>
      <c r="ATN6" s="178"/>
      <c r="ATO6" s="178"/>
      <c r="ATP6" s="178"/>
      <c r="ATQ6" s="178"/>
      <c r="ATR6" s="178"/>
      <c r="ATS6" s="178"/>
      <c r="ATT6" s="178"/>
      <c r="ATU6" s="178"/>
      <c r="ATV6" s="178"/>
      <c r="ATW6" s="178"/>
      <c r="ATX6" s="178"/>
      <c r="ATY6" s="178"/>
      <c r="ATZ6" s="178"/>
      <c r="AUA6" s="178"/>
      <c r="AUB6" s="178"/>
      <c r="AUC6" s="178"/>
      <c r="AUD6" s="178"/>
      <c r="AUE6" s="178"/>
      <c r="AUF6" s="178"/>
      <c r="AUG6" s="178"/>
      <c r="AUH6" s="178"/>
      <c r="AUI6" s="178"/>
      <c r="AUJ6" s="178"/>
      <c r="AUK6" s="178"/>
      <c r="AUL6" s="178"/>
      <c r="AUM6" s="178"/>
      <c r="AUN6" s="178"/>
      <c r="AUO6" s="178"/>
      <c r="AUP6" s="178"/>
      <c r="AUQ6" s="178"/>
      <c r="AUR6" s="178"/>
      <c r="AUS6" s="178"/>
      <c r="AUT6" s="178"/>
      <c r="AUU6" s="178"/>
      <c r="AUV6" s="178"/>
      <c r="AUW6" s="178"/>
      <c r="AUX6" s="178"/>
      <c r="AUY6" s="178"/>
      <c r="AUZ6" s="178"/>
      <c r="AVA6" s="178"/>
      <c r="AVB6" s="178"/>
      <c r="AVC6" s="178"/>
      <c r="AVD6" s="178"/>
      <c r="AVE6" s="178"/>
      <c r="AVF6" s="178"/>
      <c r="AVG6" s="178"/>
      <c r="AVH6" s="178"/>
      <c r="AVI6" s="178"/>
      <c r="AVJ6" s="178"/>
      <c r="AVK6" s="178"/>
      <c r="AVL6" s="178"/>
      <c r="AVM6" s="178"/>
      <c r="AVN6" s="178"/>
      <c r="AVO6" s="178"/>
      <c r="AVP6" s="178"/>
      <c r="AVQ6" s="178"/>
      <c r="AVR6" s="178"/>
      <c r="AVS6" s="178"/>
      <c r="AVT6" s="178"/>
      <c r="AVU6" s="178"/>
      <c r="AVV6" s="178"/>
      <c r="AVW6" s="178"/>
      <c r="AVX6" s="178"/>
      <c r="AVY6" s="178"/>
      <c r="AVZ6" s="178"/>
      <c r="AWA6" s="178"/>
      <c r="AWB6" s="178"/>
      <c r="AWC6" s="178"/>
      <c r="AWD6" s="178"/>
      <c r="AWE6" s="178"/>
      <c r="AWF6" s="178"/>
      <c r="AWG6" s="178"/>
      <c r="AWH6" s="178"/>
      <c r="AWI6" s="178"/>
      <c r="AWJ6" s="178"/>
      <c r="AWK6" s="178"/>
      <c r="AWL6" s="178"/>
      <c r="AWM6" s="178"/>
      <c r="AWN6" s="178"/>
      <c r="AWO6" s="178"/>
      <c r="AWP6" s="178"/>
      <c r="AWQ6" s="178"/>
      <c r="AWR6" s="178"/>
      <c r="AWS6" s="178"/>
      <c r="AWT6" s="178"/>
      <c r="AWU6" s="178"/>
      <c r="AWV6" s="178"/>
      <c r="AWW6" s="178"/>
      <c r="AWX6" s="178"/>
      <c r="AWY6" s="178"/>
      <c r="AWZ6" s="178"/>
      <c r="AXA6" s="178"/>
      <c r="AXB6" s="178"/>
      <c r="AXC6" s="178"/>
      <c r="AXD6" s="178"/>
      <c r="AXE6" s="178"/>
      <c r="AXF6" s="178"/>
      <c r="AXG6" s="178"/>
      <c r="AXH6" s="178"/>
      <c r="AXI6" s="178"/>
      <c r="AXJ6" s="178"/>
      <c r="AXK6" s="178"/>
      <c r="AXL6" s="178"/>
      <c r="AXM6" s="178"/>
      <c r="AXN6" s="178"/>
      <c r="AXO6" s="178"/>
      <c r="AXP6" s="178"/>
      <c r="AXQ6" s="178"/>
      <c r="AXR6" s="178"/>
      <c r="AXS6" s="178"/>
      <c r="AXT6" s="178"/>
      <c r="AXU6" s="178"/>
      <c r="AXV6" s="178"/>
      <c r="AXW6" s="178"/>
      <c r="AXX6" s="178"/>
      <c r="AXY6" s="178"/>
      <c r="AXZ6" s="178"/>
      <c r="AYA6" s="178"/>
      <c r="AYB6" s="178"/>
      <c r="AYC6" s="178"/>
      <c r="AYD6" s="178"/>
      <c r="AYE6" s="178"/>
      <c r="AYF6" s="178"/>
      <c r="AYG6" s="178"/>
      <c r="AYH6" s="178"/>
      <c r="AYI6" s="178"/>
      <c r="AYJ6" s="178"/>
      <c r="AYK6" s="178"/>
      <c r="AYL6" s="178"/>
      <c r="AYM6" s="178"/>
      <c r="AYN6" s="178"/>
      <c r="AYO6" s="178"/>
      <c r="AYP6" s="178"/>
      <c r="AYQ6" s="178"/>
      <c r="AYR6" s="178"/>
      <c r="AYS6" s="178"/>
      <c r="AYT6" s="178"/>
      <c r="AYU6" s="178"/>
      <c r="AYV6" s="178"/>
      <c r="AYW6" s="178"/>
      <c r="AYX6" s="178"/>
      <c r="AYY6" s="178"/>
      <c r="AYZ6" s="178"/>
      <c r="AZA6" s="178"/>
      <c r="AZB6" s="178"/>
      <c r="AZC6" s="178"/>
      <c r="AZD6" s="178"/>
      <c r="AZE6" s="178"/>
      <c r="AZF6" s="178"/>
      <c r="AZG6" s="178"/>
      <c r="AZH6" s="178"/>
      <c r="AZI6" s="178"/>
      <c r="AZJ6" s="178"/>
      <c r="AZK6" s="178"/>
      <c r="AZL6" s="178"/>
      <c r="AZM6" s="178"/>
      <c r="AZN6" s="178"/>
      <c r="AZO6" s="178"/>
      <c r="AZP6" s="178"/>
      <c r="AZQ6" s="178"/>
      <c r="AZR6" s="178"/>
      <c r="AZS6" s="178"/>
      <c r="AZT6" s="178"/>
      <c r="AZU6" s="178"/>
      <c r="AZV6" s="178"/>
      <c r="AZW6" s="178"/>
      <c r="AZX6" s="178"/>
      <c r="AZY6" s="178"/>
      <c r="AZZ6" s="178"/>
      <c r="BAA6" s="178"/>
      <c r="BAB6" s="178"/>
      <c r="BAC6" s="178"/>
      <c r="BAD6" s="178"/>
      <c r="BAE6" s="178"/>
      <c r="BAF6" s="178"/>
      <c r="BAG6" s="178"/>
      <c r="BAH6" s="178"/>
      <c r="BAI6" s="178"/>
      <c r="BAJ6" s="178"/>
      <c r="BAK6" s="178"/>
      <c r="BAL6" s="178"/>
      <c r="BAM6" s="178"/>
      <c r="BAN6" s="178"/>
      <c r="BAO6" s="178"/>
      <c r="BAP6" s="178"/>
      <c r="BAQ6" s="178"/>
      <c r="BAR6" s="178"/>
      <c r="BAS6" s="178"/>
      <c r="BAT6" s="178"/>
      <c r="BAU6" s="178"/>
      <c r="BAV6" s="178"/>
      <c r="BAW6" s="178"/>
      <c r="BAX6" s="178"/>
      <c r="BAY6" s="178"/>
      <c r="BAZ6" s="178"/>
      <c r="BBA6" s="178"/>
      <c r="BBB6" s="178"/>
      <c r="BBC6" s="178"/>
      <c r="BBD6" s="178"/>
      <c r="BBE6" s="178"/>
      <c r="BBF6" s="178"/>
      <c r="BBG6" s="178"/>
      <c r="BBH6" s="178"/>
      <c r="BBI6" s="178"/>
      <c r="BBJ6" s="178"/>
      <c r="BBK6" s="178"/>
      <c r="BBL6" s="178"/>
      <c r="BBM6" s="178"/>
      <c r="BBN6" s="178"/>
      <c r="BBO6" s="178"/>
      <c r="BBP6" s="178"/>
      <c r="BBQ6" s="178"/>
      <c r="BBR6" s="178"/>
      <c r="BBS6" s="178"/>
      <c r="BBT6" s="178"/>
      <c r="BBU6" s="178"/>
      <c r="BBV6" s="178"/>
      <c r="BBW6" s="178"/>
      <c r="BBX6" s="178"/>
      <c r="BBY6" s="178"/>
      <c r="BBZ6" s="178"/>
      <c r="BCA6" s="178"/>
      <c r="BCB6" s="178"/>
      <c r="BCC6" s="178"/>
      <c r="BCD6" s="178"/>
      <c r="BCE6" s="178"/>
      <c r="BCF6" s="178"/>
      <c r="BCG6" s="178"/>
      <c r="BCH6" s="178"/>
      <c r="BCI6" s="178"/>
      <c r="BCJ6" s="178"/>
      <c r="BCK6" s="178"/>
      <c r="BCL6" s="178"/>
      <c r="BCM6" s="178"/>
      <c r="BCN6" s="178"/>
      <c r="BCO6" s="178"/>
      <c r="BCP6" s="178"/>
      <c r="BCQ6" s="178"/>
      <c r="BCR6" s="178"/>
      <c r="BCS6" s="178"/>
      <c r="BCT6" s="178"/>
      <c r="BCU6" s="178"/>
      <c r="BCV6" s="178"/>
      <c r="BCW6" s="178"/>
      <c r="BCX6" s="178"/>
      <c r="BCY6" s="178"/>
      <c r="BCZ6" s="178"/>
      <c r="BDA6" s="178"/>
      <c r="BDB6" s="178"/>
      <c r="BDC6" s="178"/>
      <c r="BDD6" s="178"/>
      <c r="BDE6" s="178"/>
      <c r="BDF6" s="178"/>
      <c r="BDG6" s="178"/>
      <c r="BDH6" s="178"/>
      <c r="BDI6" s="178"/>
      <c r="BDJ6" s="178"/>
      <c r="BDK6" s="178"/>
      <c r="BDL6" s="178"/>
      <c r="BDM6" s="178"/>
      <c r="BDN6" s="178"/>
      <c r="BDO6" s="178"/>
      <c r="BDP6" s="178"/>
      <c r="BDQ6" s="178"/>
      <c r="BDR6" s="178"/>
      <c r="BDS6" s="178"/>
      <c r="BDT6" s="178"/>
      <c r="BDU6" s="178"/>
      <c r="BDV6" s="178"/>
      <c r="BDW6" s="178"/>
      <c r="BDX6" s="178"/>
      <c r="BDY6" s="178"/>
      <c r="BDZ6" s="178"/>
      <c r="BEA6" s="178"/>
      <c r="BEB6" s="178"/>
      <c r="BEC6" s="178"/>
      <c r="BED6" s="178"/>
      <c r="BEE6" s="178"/>
      <c r="BEF6" s="178"/>
      <c r="BEG6" s="178"/>
      <c r="BEH6" s="178"/>
      <c r="BEI6" s="178"/>
      <c r="BEJ6" s="178"/>
      <c r="BEK6" s="178"/>
      <c r="BEL6" s="178"/>
      <c r="BEM6" s="178"/>
      <c r="BEN6" s="178"/>
      <c r="BEO6" s="178"/>
      <c r="BEP6" s="178"/>
      <c r="BEQ6" s="178"/>
      <c r="BER6" s="178"/>
      <c r="BES6" s="178"/>
      <c r="BET6" s="178"/>
      <c r="BEU6" s="178"/>
      <c r="BEV6" s="178"/>
      <c r="BEW6" s="178"/>
      <c r="BEX6" s="178"/>
      <c r="BEY6" s="178"/>
      <c r="BEZ6" s="178"/>
      <c r="BFA6" s="178"/>
      <c r="BFB6" s="178"/>
      <c r="BFC6" s="178"/>
      <c r="BFD6" s="178"/>
      <c r="BFE6" s="178"/>
      <c r="BFF6" s="178"/>
      <c r="BFG6" s="178"/>
      <c r="BFH6" s="178"/>
      <c r="BFI6" s="178"/>
      <c r="BFJ6" s="178"/>
      <c r="BFK6" s="178"/>
      <c r="BFL6" s="178"/>
      <c r="BFM6" s="178"/>
      <c r="BFN6" s="178"/>
      <c r="BFO6" s="178"/>
      <c r="BFP6" s="178"/>
      <c r="BFQ6" s="178"/>
      <c r="BFR6" s="178"/>
      <c r="BFS6" s="178"/>
      <c r="BFT6" s="178"/>
      <c r="BFU6" s="178"/>
      <c r="BFV6" s="178"/>
      <c r="BFW6" s="178"/>
      <c r="BFX6" s="178"/>
      <c r="BFY6" s="178"/>
      <c r="BFZ6" s="178"/>
      <c r="BGA6" s="178"/>
      <c r="BGB6" s="178"/>
      <c r="BGC6" s="178"/>
      <c r="BGD6" s="178"/>
      <c r="BGE6" s="178"/>
      <c r="BGF6" s="178"/>
      <c r="BGG6" s="178"/>
      <c r="BGH6" s="178"/>
      <c r="BGI6" s="178"/>
      <c r="BGJ6" s="178"/>
      <c r="BGK6" s="178"/>
      <c r="BGL6" s="178"/>
      <c r="BGM6" s="178"/>
      <c r="BGN6" s="178"/>
      <c r="BGO6" s="178"/>
      <c r="BGP6" s="178"/>
      <c r="BGQ6" s="178"/>
      <c r="BGR6" s="178"/>
      <c r="BGS6" s="178"/>
      <c r="BGT6" s="178"/>
      <c r="BGU6" s="178"/>
      <c r="BGV6" s="178"/>
      <c r="BGW6" s="178"/>
      <c r="BGX6" s="178"/>
      <c r="BGY6" s="178"/>
      <c r="BGZ6" s="178"/>
      <c r="BHA6" s="178"/>
      <c r="BHB6" s="178"/>
      <c r="BHC6" s="178"/>
      <c r="BHD6" s="178"/>
      <c r="BHE6" s="178"/>
      <c r="BHF6" s="178"/>
      <c r="BHG6" s="178"/>
      <c r="BHH6" s="178"/>
      <c r="BHI6" s="178"/>
      <c r="BHJ6" s="178"/>
      <c r="BHK6" s="178"/>
      <c r="BHL6" s="178"/>
      <c r="BHM6" s="178"/>
      <c r="BHN6" s="178"/>
      <c r="BHO6" s="178"/>
      <c r="BHP6" s="178"/>
      <c r="BHQ6" s="178"/>
      <c r="BHR6" s="178"/>
      <c r="BHS6" s="178"/>
      <c r="BHT6" s="178"/>
      <c r="BHU6" s="178"/>
      <c r="BHV6" s="178"/>
      <c r="BHW6" s="178"/>
      <c r="BHX6" s="178"/>
      <c r="BHY6" s="178"/>
      <c r="BHZ6" s="178"/>
      <c r="BIA6" s="178"/>
      <c r="BIB6" s="178"/>
      <c r="BIC6" s="178"/>
      <c r="BID6" s="178"/>
      <c r="BIE6" s="178"/>
      <c r="BIF6" s="178"/>
      <c r="BIG6" s="178"/>
      <c r="BIH6" s="178"/>
      <c r="BII6" s="178"/>
      <c r="BIJ6" s="178"/>
      <c r="BIK6" s="178"/>
      <c r="BIL6" s="178"/>
      <c r="BIM6" s="178"/>
      <c r="BIN6" s="178"/>
      <c r="BIO6" s="178"/>
      <c r="BIP6" s="178"/>
      <c r="BIQ6" s="178"/>
      <c r="BIR6" s="178"/>
      <c r="BIS6" s="178"/>
      <c r="BIT6" s="178"/>
      <c r="BIU6" s="178"/>
      <c r="BIV6" s="178"/>
      <c r="BIW6" s="178"/>
      <c r="BIX6" s="178"/>
      <c r="BIY6" s="178"/>
      <c r="BIZ6" s="178"/>
      <c r="BJA6" s="178"/>
      <c r="BJB6" s="178"/>
      <c r="BJC6" s="178"/>
      <c r="BJD6" s="178"/>
      <c r="BJE6" s="178"/>
      <c r="BJF6" s="178"/>
      <c r="BJG6" s="178"/>
      <c r="BJH6" s="178"/>
      <c r="BJI6" s="178"/>
      <c r="BJJ6" s="178"/>
      <c r="BJK6" s="178"/>
      <c r="BJL6" s="178"/>
      <c r="BJM6" s="178"/>
      <c r="BJN6" s="178"/>
      <c r="BJO6" s="178"/>
      <c r="BJP6" s="178"/>
      <c r="BJQ6" s="178"/>
      <c r="BJR6" s="178"/>
      <c r="BJS6" s="178"/>
      <c r="BJT6" s="178"/>
      <c r="BJU6" s="178"/>
      <c r="BJV6" s="178"/>
      <c r="BJW6" s="178"/>
      <c r="BJX6" s="178"/>
      <c r="BJY6" s="178"/>
      <c r="BJZ6" s="178"/>
      <c r="BKA6" s="178"/>
      <c r="BKB6" s="178"/>
      <c r="BKC6" s="178"/>
      <c r="BKD6" s="178"/>
      <c r="BKE6" s="178"/>
      <c r="BKF6" s="178"/>
      <c r="BKG6" s="178"/>
      <c r="BKH6" s="178"/>
      <c r="BKI6" s="178"/>
      <c r="BKJ6" s="178"/>
      <c r="BKK6" s="178"/>
      <c r="BKL6" s="178"/>
      <c r="BKM6" s="178"/>
      <c r="BKN6" s="178"/>
      <c r="BKO6" s="178"/>
      <c r="BKP6" s="178"/>
      <c r="BKQ6" s="178"/>
      <c r="BKR6" s="178"/>
      <c r="BKS6" s="178"/>
      <c r="BKT6" s="178"/>
      <c r="BKU6" s="178"/>
      <c r="BKV6" s="178"/>
      <c r="BKW6" s="178"/>
      <c r="BKX6" s="178"/>
      <c r="BKY6" s="178"/>
      <c r="BKZ6" s="178"/>
      <c r="BLA6" s="178"/>
      <c r="BLB6" s="178"/>
      <c r="BLC6" s="178"/>
      <c r="BLD6" s="178"/>
      <c r="BLE6" s="178"/>
      <c r="BLF6" s="178"/>
      <c r="BLG6" s="178"/>
      <c r="BLH6" s="178"/>
      <c r="BLI6" s="178"/>
      <c r="BLJ6" s="178"/>
      <c r="BLK6" s="178"/>
      <c r="BLL6" s="178"/>
      <c r="BLM6" s="178"/>
      <c r="BLN6" s="178"/>
      <c r="BLO6" s="178"/>
      <c r="BLP6" s="178"/>
      <c r="BLQ6" s="178"/>
      <c r="BLR6" s="178"/>
      <c r="BLS6" s="178"/>
      <c r="BLT6" s="178"/>
      <c r="BLU6" s="178"/>
      <c r="BLV6" s="178"/>
      <c r="BLW6" s="178"/>
      <c r="BLX6" s="178"/>
      <c r="BLY6" s="178"/>
      <c r="BLZ6" s="178"/>
      <c r="BMA6" s="178"/>
      <c r="BMB6" s="178"/>
      <c r="BMC6" s="178"/>
      <c r="BMD6" s="178"/>
      <c r="BME6" s="178"/>
      <c r="BMF6" s="178"/>
      <c r="BMG6" s="178"/>
      <c r="BMH6" s="178"/>
      <c r="BMI6" s="178"/>
      <c r="BMJ6" s="178"/>
      <c r="BMK6" s="178"/>
      <c r="BML6" s="178"/>
      <c r="BMM6" s="178"/>
      <c r="BMN6" s="178"/>
      <c r="BMO6" s="178"/>
      <c r="BMP6" s="178"/>
      <c r="BMQ6" s="178"/>
      <c r="BMR6" s="178"/>
      <c r="BMS6" s="178"/>
      <c r="BMT6" s="178"/>
      <c r="BMU6" s="178"/>
      <c r="BMV6" s="178"/>
      <c r="BMW6" s="178"/>
      <c r="BMX6" s="178"/>
      <c r="BMY6" s="178"/>
      <c r="BMZ6" s="178"/>
      <c r="BNA6" s="178"/>
      <c r="BNB6" s="178"/>
      <c r="BNC6" s="178"/>
      <c r="BND6" s="178"/>
      <c r="BNE6" s="178"/>
      <c r="BNF6" s="178"/>
      <c r="BNG6" s="178"/>
      <c r="BNH6" s="178"/>
      <c r="BNI6" s="178"/>
      <c r="BNJ6" s="178"/>
      <c r="BNK6" s="178"/>
      <c r="BNL6" s="178"/>
      <c r="BNM6" s="178"/>
      <c r="BNN6" s="178"/>
      <c r="BNO6" s="178"/>
      <c r="BNP6" s="178"/>
      <c r="BNQ6" s="178"/>
      <c r="BNR6" s="178"/>
      <c r="BNS6" s="178"/>
      <c r="BNT6" s="178"/>
      <c r="BNU6" s="178"/>
      <c r="BNV6" s="178"/>
      <c r="BNW6" s="178"/>
      <c r="BNX6" s="178"/>
      <c r="BNY6" s="178"/>
      <c r="BNZ6" s="178"/>
      <c r="BOA6" s="178"/>
      <c r="BOB6" s="178"/>
      <c r="BOC6" s="178"/>
      <c r="BOD6" s="178"/>
      <c r="BOE6" s="178"/>
      <c r="BOF6" s="178"/>
      <c r="BOG6" s="178"/>
      <c r="BOH6" s="178"/>
      <c r="BOI6" s="178"/>
      <c r="BOJ6" s="178"/>
      <c r="BOK6" s="178"/>
      <c r="BOL6" s="178"/>
      <c r="BOM6" s="178"/>
      <c r="BON6" s="178"/>
      <c r="BOO6" s="178"/>
      <c r="BOP6" s="178"/>
      <c r="BOQ6" s="178"/>
      <c r="BOR6" s="178"/>
      <c r="BOS6" s="178"/>
      <c r="BOT6" s="178"/>
      <c r="BOU6" s="178"/>
      <c r="BOV6" s="178"/>
      <c r="BOW6" s="178"/>
      <c r="BOX6" s="178"/>
      <c r="BOY6" s="178"/>
      <c r="BOZ6" s="178"/>
      <c r="BPA6" s="178"/>
      <c r="BPB6" s="178"/>
      <c r="BPC6" s="178"/>
      <c r="BPD6" s="178"/>
      <c r="BPE6" s="178"/>
      <c r="BPF6" s="178"/>
      <c r="BPG6" s="178"/>
      <c r="BPH6" s="178"/>
      <c r="BPI6" s="178"/>
      <c r="BPJ6" s="178"/>
      <c r="BPK6" s="178"/>
      <c r="BPL6" s="178"/>
      <c r="BPM6" s="178"/>
      <c r="BPN6" s="178"/>
      <c r="BPO6" s="178"/>
      <c r="BPP6" s="178"/>
      <c r="BPQ6" s="178"/>
      <c r="BPR6" s="178"/>
      <c r="BPS6" s="178"/>
      <c r="BPT6" s="178"/>
      <c r="BPU6" s="178"/>
      <c r="BPV6" s="178"/>
      <c r="BPW6" s="178"/>
      <c r="BPX6" s="178"/>
      <c r="BPY6" s="178"/>
      <c r="BPZ6" s="178"/>
      <c r="BQA6" s="178"/>
      <c r="BQB6" s="178"/>
      <c r="BQC6" s="178"/>
      <c r="BQD6" s="178"/>
      <c r="BQE6" s="178"/>
      <c r="BQF6" s="178"/>
      <c r="BQG6" s="178"/>
      <c r="BQH6" s="178"/>
      <c r="BQI6" s="178"/>
      <c r="BQJ6" s="178"/>
      <c r="BQK6" s="178"/>
      <c r="BQL6" s="178"/>
      <c r="BQM6" s="178"/>
      <c r="BQN6" s="178"/>
      <c r="BQO6" s="178"/>
      <c r="BQP6" s="178"/>
      <c r="BQQ6" s="178"/>
      <c r="BQR6" s="178"/>
      <c r="BQS6" s="178"/>
      <c r="BQT6" s="178"/>
      <c r="BQU6" s="178"/>
      <c r="BQV6" s="178"/>
      <c r="BQW6" s="178"/>
      <c r="BQX6" s="178"/>
      <c r="BQY6" s="178"/>
      <c r="BQZ6" s="178"/>
      <c r="BRA6" s="178"/>
      <c r="BRB6" s="178"/>
      <c r="BRC6" s="178"/>
      <c r="BRD6" s="178"/>
      <c r="BRE6" s="178"/>
      <c r="BRF6" s="178"/>
      <c r="BRG6" s="178"/>
      <c r="BRH6" s="178"/>
      <c r="BRI6" s="178"/>
      <c r="BRJ6" s="178"/>
      <c r="BRK6" s="178"/>
      <c r="BRL6" s="178"/>
      <c r="BRM6" s="178"/>
      <c r="BRN6" s="178"/>
      <c r="BRO6" s="178"/>
      <c r="BRP6" s="178"/>
      <c r="BRQ6" s="178"/>
      <c r="BRR6" s="178"/>
      <c r="BRS6" s="178"/>
      <c r="BRT6" s="178"/>
      <c r="BRU6" s="178"/>
      <c r="BRV6" s="178"/>
      <c r="BRW6" s="178"/>
      <c r="BRX6" s="178"/>
      <c r="BRY6" s="178"/>
      <c r="BRZ6" s="178"/>
      <c r="BSA6" s="178"/>
      <c r="BSB6" s="178"/>
      <c r="BSC6" s="178"/>
      <c r="BSD6" s="178"/>
      <c r="BSE6" s="178"/>
      <c r="BSF6" s="178"/>
      <c r="BSG6" s="178"/>
      <c r="BSH6" s="178"/>
      <c r="BSI6" s="178"/>
      <c r="BSJ6" s="178"/>
      <c r="BSK6" s="178"/>
      <c r="BSL6" s="178"/>
      <c r="BSM6" s="178"/>
      <c r="BSN6" s="178"/>
      <c r="BSO6" s="178"/>
      <c r="BSP6" s="178"/>
      <c r="BSQ6" s="178"/>
      <c r="BSR6" s="178"/>
      <c r="BSS6" s="178"/>
      <c r="BST6" s="178"/>
      <c r="BSU6" s="178"/>
      <c r="BSV6" s="178"/>
      <c r="BSW6" s="178"/>
      <c r="BSX6" s="178"/>
      <c r="BSY6" s="178"/>
      <c r="BSZ6" s="178"/>
      <c r="BTA6" s="178"/>
      <c r="BTB6" s="178"/>
      <c r="BTC6" s="178"/>
      <c r="BTD6" s="178"/>
      <c r="BTE6" s="178"/>
      <c r="BTF6" s="178"/>
      <c r="BTG6" s="178"/>
      <c r="BTH6" s="178"/>
      <c r="BTI6" s="178"/>
      <c r="BTJ6" s="178"/>
      <c r="BTK6" s="178"/>
      <c r="BTL6" s="178"/>
      <c r="BTM6" s="178"/>
      <c r="BTN6" s="178"/>
      <c r="BTO6" s="178"/>
      <c r="BTP6" s="178"/>
      <c r="BTQ6" s="178"/>
      <c r="BTR6" s="178"/>
      <c r="BTS6" s="178"/>
      <c r="BTT6" s="178"/>
      <c r="BTU6" s="178"/>
      <c r="BTV6" s="178"/>
      <c r="BTW6" s="178"/>
      <c r="BTX6" s="178"/>
      <c r="BTY6" s="178"/>
      <c r="BTZ6" s="178"/>
      <c r="BUA6" s="178"/>
      <c r="BUB6" s="178"/>
      <c r="BUC6" s="178"/>
      <c r="BUD6" s="178"/>
      <c r="BUE6" s="178"/>
      <c r="BUF6" s="178"/>
      <c r="BUG6" s="178"/>
      <c r="BUH6" s="178"/>
      <c r="BUI6" s="178"/>
      <c r="BUJ6" s="178"/>
      <c r="BUK6" s="178"/>
      <c r="BUL6" s="178"/>
      <c r="BUM6" s="178"/>
      <c r="BUN6" s="178"/>
      <c r="BUO6" s="178"/>
      <c r="BUP6" s="178"/>
      <c r="BUQ6" s="178"/>
      <c r="BUR6" s="178"/>
      <c r="BUS6" s="178"/>
      <c r="BUT6" s="178"/>
      <c r="BUU6" s="178"/>
      <c r="BUV6" s="178"/>
      <c r="BUW6" s="178"/>
      <c r="BUX6" s="178"/>
      <c r="BUY6" s="178"/>
      <c r="BUZ6" s="178"/>
      <c r="BVA6" s="178"/>
      <c r="BVB6" s="178"/>
      <c r="BVC6" s="178"/>
      <c r="BVD6" s="178"/>
      <c r="BVE6" s="178"/>
      <c r="BVF6" s="178"/>
      <c r="BVG6" s="178"/>
      <c r="BVH6" s="178"/>
      <c r="BVI6" s="178"/>
      <c r="BVJ6" s="178"/>
      <c r="BVK6" s="178"/>
      <c r="BVL6" s="178"/>
      <c r="BVM6" s="178"/>
      <c r="BVN6" s="178"/>
      <c r="BVO6" s="178"/>
      <c r="BVP6" s="178"/>
      <c r="BVQ6" s="178"/>
      <c r="BVR6" s="178"/>
      <c r="BVS6" s="178"/>
      <c r="BVT6" s="178"/>
      <c r="BVU6" s="178"/>
      <c r="BVV6" s="178"/>
      <c r="BVW6" s="178"/>
      <c r="BVX6" s="178"/>
      <c r="BVY6" s="178"/>
      <c r="BVZ6" s="178"/>
      <c r="BWA6" s="178"/>
      <c r="BWB6" s="178"/>
      <c r="BWC6" s="178"/>
      <c r="BWD6" s="178"/>
      <c r="BWE6" s="178"/>
      <c r="BWF6" s="178"/>
      <c r="BWG6" s="178"/>
      <c r="BWH6" s="178"/>
      <c r="BWI6" s="178"/>
      <c r="BWJ6" s="178"/>
      <c r="BWK6" s="178"/>
      <c r="BWL6" s="178"/>
      <c r="BWM6" s="178"/>
      <c r="BWN6" s="178"/>
      <c r="BWO6" s="178"/>
      <c r="BWP6" s="178"/>
      <c r="BWQ6" s="178"/>
      <c r="BWR6" s="178"/>
      <c r="BWS6" s="178"/>
      <c r="BWT6" s="178"/>
      <c r="BWU6" s="178"/>
      <c r="BWV6" s="178"/>
      <c r="BWW6" s="178"/>
      <c r="BWX6" s="178"/>
      <c r="BWY6" s="178"/>
      <c r="BWZ6" s="178"/>
      <c r="BXA6" s="178"/>
      <c r="BXB6" s="178"/>
      <c r="BXC6" s="178"/>
      <c r="BXD6" s="178"/>
      <c r="BXE6" s="178"/>
      <c r="BXF6" s="178"/>
      <c r="BXG6" s="178"/>
      <c r="BXH6" s="178"/>
      <c r="BXI6" s="178"/>
      <c r="BXJ6" s="178"/>
      <c r="BXK6" s="178"/>
      <c r="BXL6" s="178"/>
      <c r="BXM6" s="178"/>
      <c r="BXN6" s="178"/>
      <c r="BXO6" s="178"/>
      <c r="BXP6" s="178"/>
      <c r="BXQ6" s="178"/>
      <c r="BXR6" s="178"/>
      <c r="BXS6" s="178"/>
      <c r="BXT6" s="178"/>
      <c r="BXU6" s="178"/>
      <c r="BXV6" s="178"/>
      <c r="BXW6" s="178"/>
      <c r="BXX6" s="178"/>
      <c r="BXY6" s="178"/>
      <c r="BXZ6" s="178"/>
      <c r="BYA6" s="178"/>
      <c r="BYB6" s="178"/>
      <c r="BYC6" s="178"/>
      <c r="BYD6" s="178"/>
      <c r="BYE6" s="178"/>
      <c r="BYF6" s="178"/>
      <c r="BYG6" s="178"/>
      <c r="BYH6" s="178"/>
      <c r="BYI6" s="178"/>
      <c r="BYJ6" s="178"/>
      <c r="BYK6" s="178"/>
      <c r="BYL6" s="178"/>
      <c r="BYM6" s="178"/>
      <c r="BYN6" s="178"/>
      <c r="BYO6" s="178"/>
      <c r="BYP6" s="178"/>
      <c r="BYQ6" s="178"/>
      <c r="BYR6" s="178"/>
      <c r="BYS6" s="178"/>
      <c r="BYT6" s="178"/>
      <c r="BYU6" s="178"/>
      <c r="BYV6" s="178"/>
      <c r="BYW6" s="178"/>
      <c r="BYX6" s="178"/>
      <c r="BYY6" s="178"/>
      <c r="BYZ6" s="178"/>
      <c r="BZA6" s="178"/>
      <c r="BZB6" s="178"/>
      <c r="BZC6" s="178"/>
      <c r="BZD6" s="178"/>
      <c r="BZE6" s="178"/>
      <c r="BZF6" s="178"/>
      <c r="BZG6" s="178"/>
      <c r="BZH6" s="178"/>
      <c r="BZI6" s="178"/>
      <c r="BZJ6" s="178"/>
      <c r="BZK6" s="178"/>
      <c r="BZL6" s="178"/>
      <c r="BZM6" s="178"/>
      <c r="BZN6" s="178"/>
      <c r="BZO6" s="178"/>
      <c r="BZP6" s="178"/>
      <c r="BZQ6" s="178"/>
      <c r="BZR6" s="178"/>
      <c r="BZS6" s="178"/>
      <c r="BZT6" s="178"/>
      <c r="BZU6" s="178"/>
      <c r="BZV6" s="178"/>
      <c r="BZW6" s="178"/>
      <c r="BZX6" s="178"/>
      <c r="BZY6" s="178"/>
      <c r="BZZ6" s="178"/>
      <c r="CAA6" s="178"/>
      <c r="CAB6" s="178"/>
      <c r="CAC6" s="178"/>
      <c r="CAD6" s="178"/>
      <c r="CAE6" s="178"/>
      <c r="CAF6" s="178"/>
      <c r="CAG6" s="178"/>
      <c r="CAH6" s="178"/>
      <c r="CAI6" s="178"/>
      <c r="CAJ6" s="178"/>
      <c r="CAK6" s="178"/>
      <c r="CAL6" s="178"/>
      <c r="CAM6" s="178"/>
      <c r="CAN6" s="178"/>
      <c r="CAO6" s="178"/>
      <c r="CAP6" s="178"/>
      <c r="CAQ6" s="178"/>
      <c r="CAR6" s="178"/>
      <c r="CAS6" s="178"/>
      <c r="CAT6" s="178"/>
      <c r="CAU6" s="178"/>
      <c r="CAV6" s="178"/>
      <c r="CAW6" s="178"/>
      <c r="CAX6" s="178"/>
      <c r="CAY6" s="178"/>
      <c r="CAZ6" s="178"/>
      <c r="CBA6" s="178"/>
      <c r="CBB6" s="178"/>
      <c r="CBC6" s="178"/>
      <c r="CBD6" s="178"/>
      <c r="CBE6" s="178"/>
      <c r="CBF6" s="178"/>
      <c r="CBG6" s="178"/>
      <c r="CBH6" s="178"/>
      <c r="CBI6" s="178"/>
      <c r="CBJ6" s="178"/>
      <c r="CBK6" s="178"/>
      <c r="CBL6" s="178"/>
      <c r="CBM6" s="178"/>
      <c r="CBN6" s="178"/>
      <c r="CBO6" s="178"/>
      <c r="CBP6" s="178"/>
      <c r="CBQ6" s="178"/>
      <c r="CBR6" s="178"/>
      <c r="CBS6" s="178"/>
      <c r="CBT6" s="178"/>
      <c r="CBU6" s="178"/>
      <c r="CBV6" s="178"/>
      <c r="CBW6" s="178"/>
      <c r="CBX6" s="178"/>
      <c r="CBY6" s="178"/>
      <c r="CBZ6" s="178"/>
      <c r="CCA6" s="178"/>
      <c r="CCB6" s="178"/>
      <c r="CCC6" s="178"/>
      <c r="CCD6" s="178"/>
      <c r="CCE6" s="178"/>
      <c r="CCF6" s="178"/>
      <c r="CCG6" s="178"/>
      <c r="CCH6" s="178"/>
      <c r="CCI6" s="178"/>
      <c r="CCJ6" s="178"/>
      <c r="CCK6" s="178"/>
      <c r="CCL6" s="178"/>
      <c r="CCM6" s="178"/>
      <c r="CCN6" s="178"/>
      <c r="CCO6" s="178"/>
      <c r="CCP6" s="178"/>
      <c r="CCQ6" s="178"/>
      <c r="CCR6" s="178"/>
      <c r="CCS6" s="178"/>
      <c r="CCT6" s="178"/>
      <c r="CCU6" s="178"/>
      <c r="CCV6" s="178"/>
      <c r="CCW6" s="178"/>
      <c r="CCX6" s="178"/>
      <c r="CCY6" s="178"/>
      <c r="CCZ6" s="178"/>
      <c r="CDA6" s="178"/>
      <c r="CDB6" s="178"/>
      <c r="CDC6" s="178"/>
      <c r="CDD6" s="178"/>
      <c r="CDE6" s="178"/>
      <c r="CDF6" s="178"/>
      <c r="CDG6" s="178"/>
      <c r="CDH6" s="178"/>
      <c r="CDI6" s="178"/>
      <c r="CDJ6" s="178"/>
      <c r="CDK6" s="178"/>
      <c r="CDL6" s="178"/>
      <c r="CDM6" s="178"/>
      <c r="CDN6" s="178"/>
      <c r="CDO6" s="178"/>
      <c r="CDP6" s="178"/>
      <c r="CDQ6" s="178"/>
      <c r="CDR6" s="178"/>
      <c r="CDS6" s="178"/>
      <c r="CDT6" s="178"/>
      <c r="CDU6" s="178"/>
      <c r="CDV6" s="178"/>
      <c r="CDW6" s="178"/>
      <c r="CDX6" s="178"/>
      <c r="CDY6" s="178"/>
      <c r="CDZ6" s="178"/>
      <c r="CEA6" s="178"/>
      <c r="CEB6" s="178"/>
      <c r="CEC6" s="178"/>
      <c r="CED6" s="178"/>
      <c r="CEE6" s="178"/>
      <c r="CEF6" s="178"/>
      <c r="CEG6" s="178"/>
      <c r="CEH6" s="178"/>
      <c r="CEI6" s="178"/>
      <c r="CEJ6" s="178"/>
      <c r="CEK6" s="178"/>
      <c r="CEL6" s="178"/>
      <c r="CEM6" s="178"/>
      <c r="CEN6" s="178"/>
      <c r="CEO6" s="178"/>
      <c r="CEP6" s="178"/>
      <c r="CEQ6" s="178"/>
      <c r="CER6" s="178"/>
      <c r="CES6" s="178"/>
      <c r="CET6" s="178"/>
      <c r="CEU6" s="178"/>
      <c r="CEV6" s="178"/>
      <c r="CEW6" s="178"/>
      <c r="CEX6" s="178"/>
      <c r="CEY6" s="178"/>
      <c r="CEZ6" s="178"/>
      <c r="CFA6" s="178"/>
      <c r="CFB6" s="178"/>
      <c r="CFC6" s="178"/>
      <c r="CFD6" s="178"/>
      <c r="CFE6" s="178"/>
      <c r="CFF6" s="178"/>
      <c r="CFG6" s="178"/>
      <c r="CFH6" s="178"/>
      <c r="CFI6" s="178"/>
      <c r="CFJ6" s="178"/>
      <c r="CFK6" s="178"/>
      <c r="CFL6" s="178"/>
      <c r="CFM6" s="178"/>
      <c r="CFN6" s="178"/>
      <c r="CFO6" s="178"/>
      <c r="CFP6" s="178"/>
      <c r="CFQ6" s="178"/>
      <c r="CFR6" s="178"/>
      <c r="CFS6" s="178"/>
      <c r="CFT6" s="178"/>
      <c r="CFU6" s="178"/>
      <c r="CFV6" s="178"/>
      <c r="CFW6" s="178"/>
      <c r="CFX6" s="178"/>
      <c r="CFY6" s="178"/>
      <c r="CFZ6" s="178"/>
      <c r="CGA6" s="178"/>
      <c r="CGB6" s="178"/>
      <c r="CGC6" s="178"/>
      <c r="CGD6" s="178"/>
      <c r="CGE6" s="178"/>
      <c r="CGF6" s="178"/>
      <c r="CGG6" s="178"/>
      <c r="CGH6" s="178"/>
      <c r="CGI6" s="178"/>
      <c r="CGJ6" s="178"/>
      <c r="CGK6" s="178"/>
      <c r="CGL6" s="178"/>
      <c r="CGM6" s="178"/>
      <c r="CGN6" s="178"/>
      <c r="CGO6" s="178"/>
      <c r="CGP6" s="178"/>
      <c r="CGQ6" s="178"/>
      <c r="CGR6" s="178"/>
      <c r="CGS6" s="178"/>
      <c r="CGT6" s="178"/>
      <c r="CGU6" s="178"/>
      <c r="CGV6" s="178"/>
      <c r="CGW6" s="178"/>
      <c r="CGX6" s="178"/>
      <c r="CGY6" s="178"/>
      <c r="CGZ6" s="178"/>
      <c r="CHA6" s="178"/>
      <c r="CHB6" s="178"/>
      <c r="CHC6" s="178"/>
      <c r="CHD6" s="178"/>
      <c r="CHE6" s="178"/>
      <c r="CHF6" s="178"/>
      <c r="CHG6" s="178"/>
      <c r="CHH6" s="178"/>
      <c r="CHI6" s="178"/>
      <c r="CHJ6" s="178"/>
      <c r="CHK6" s="178"/>
      <c r="CHL6" s="178"/>
      <c r="CHM6" s="178"/>
      <c r="CHN6" s="178"/>
      <c r="CHO6" s="178"/>
      <c r="CHP6" s="178"/>
      <c r="CHQ6" s="178"/>
      <c r="CHR6" s="178"/>
      <c r="CHS6" s="178"/>
      <c r="CHT6" s="178"/>
      <c r="CHU6" s="178"/>
      <c r="CHV6" s="178"/>
      <c r="CHW6" s="178"/>
      <c r="CHX6" s="178"/>
      <c r="CHY6" s="178"/>
      <c r="CHZ6" s="178"/>
      <c r="CIA6" s="178"/>
      <c r="CIB6" s="178"/>
      <c r="CIC6" s="178"/>
      <c r="CID6" s="178"/>
      <c r="CIE6" s="178"/>
      <c r="CIF6" s="178"/>
      <c r="CIG6" s="178"/>
      <c r="CIH6" s="178"/>
      <c r="CII6" s="178"/>
      <c r="CIJ6" s="178"/>
      <c r="CIK6" s="178"/>
      <c r="CIL6" s="178"/>
      <c r="CIM6" s="178"/>
      <c r="CIN6" s="178"/>
      <c r="CIO6" s="178"/>
      <c r="CIP6" s="178"/>
      <c r="CIQ6" s="178"/>
      <c r="CIR6" s="178"/>
      <c r="CIS6" s="178"/>
      <c r="CIT6" s="178"/>
      <c r="CIU6" s="178"/>
      <c r="CIV6" s="178"/>
      <c r="CIW6" s="178"/>
      <c r="CIX6" s="178"/>
      <c r="CIY6" s="178"/>
      <c r="CIZ6" s="178"/>
      <c r="CJA6" s="178"/>
      <c r="CJB6" s="178"/>
      <c r="CJC6" s="178"/>
      <c r="CJD6" s="178"/>
      <c r="CJE6" s="178"/>
      <c r="CJF6" s="178"/>
      <c r="CJG6" s="178"/>
      <c r="CJH6" s="178"/>
      <c r="CJI6" s="178"/>
      <c r="CJJ6" s="178"/>
      <c r="CJK6" s="178"/>
      <c r="CJL6" s="178"/>
      <c r="CJM6" s="178"/>
      <c r="CJN6" s="178"/>
      <c r="CJO6" s="178"/>
      <c r="CJP6" s="178"/>
      <c r="CJQ6" s="178"/>
      <c r="CJR6" s="178"/>
      <c r="CJS6" s="178"/>
      <c r="CJT6" s="178"/>
      <c r="CJU6" s="178"/>
      <c r="CJV6" s="178"/>
      <c r="CJW6" s="178"/>
      <c r="CJX6" s="178"/>
      <c r="CJY6" s="178"/>
      <c r="CJZ6" s="178"/>
      <c r="CKA6" s="178"/>
      <c r="CKB6" s="178"/>
      <c r="CKC6" s="178"/>
      <c r="CKD6" s="178"/>
      <c r="CKE6" s="178"/>
      <c r="CKF6" s="178"/>
      <c r="CKG6" s="178"/>
      <c r="CKH6" s="178"/>
      <c r="CKI6" s="178"/>
      <c r="CKJ6" s="178"/>
      <c r="CKK6" s="178"/>
      <c r="CKL6" s="178"/>
      <c r="CKM6" s="178"/>
      <c r="CKN6" s="178"/>
      <c r="CKO6" s="178"/>
      <c r="CKP6" s="178"/>
      <c r="CKQ6" s="178"/>
      <c r="CKR6" s="178"/>
      <c r="CKS6" s="178"/>
      <c r="CKT6" s="178"/>
      <c r="CKU6" s="178"/>
      <c r="CKV6" s="178"/>
      <c r="CKW6" s="178"/>
      <c r="CKX6" s="178"/>
      <c r="CKY6" s="178"/>
      <c r="CKZ6" s="178"/>
      <c r="CLA6" s="178"/>
      <c r="CLB6" s="178"/>
      <c r="CLC6" s="178"/>
      <c r="CLD6" s="178"/>
      <c r="CLE6" s="178"/>
      <c r="CLF6" s="178"/>
      <c r="CLG6" s="178"/>
      <c r="CLH6" s="178"/>
      <c r="CLI6" s="178"/>
      <c r="CLJ6" s="178"/>
      <c r="CLK6" s="178"/>
      <c r="CLL6" s="178"/>
      <c r="CLM6" s="178"/>
      <c r="CLN6" s="178"/>
      <c r="CLO6" s="178"/>
      <c r="CLP6" s="178"/>
      <c r="CLQ6" s="178"/>
      <c r="CLR6" s="178"/>
      <c r="CLS6" s="178"/>
      <c r="CLT6" s="178"/>
      <c r="CLU6" s="178"/>
      <c r="CLV6" s="178"/>
      <c r="CLW6" s="178"/>
      <c r="CLX6" s="178"/>
      <c r="CLY6" s="178"/>
      <c r="CLZ6" s="178"/>
      <c r="CMA6" s="178"/>
      <c r="CMB6" s="178"/>
      <c r="CMC6" s="178"/>
      <c r="CMD6" s="178"/>
      <c r="CME6" s="178"/>
      <c r="CMF6" s="178"/>
      <c r="CMG6" s="178"/>
      <c r="CMH6" s="178"/>
      <c r="CMI6" s="178"/>
      <c r="CMJ6" s="178"/>
      <c r="CMK6" s="178"/>
      <c r="CML6" s="178"/>
      <c r="CMM6" s="178"/>
      <c r="CMN6" s="178"/>
      <c r="CMO6" s="178"/>
      <c r="CMP6" s="178"/>
      <c r="CMQ6" s="178"/>
      <c r="CMR6" s="178"/>
      <c r="CMS6" s="178"/>
      <c r="CMT6" s="178"/>
      <c r="CMU6" s="178"/>
      <c r="CMV6" s="178"/>
      <c r="CMW6" s="178"/>
      <c r="CMX6" s="178"/>
      <c r="CMY6" s="178"/>
      <c r="CMZ6" s="178"/>
      <c r="CNA6" s="178"/>
      <c r="CNB6" s="178"/>
      <c r="CNC6" s="178"/>
      <c r="CND6" s="178"/>
      <c r="CNE6" s="178"/>
      <c r="CNF6" s="178"/>
      <c r="CNG6" s="178"/>
      <c r="CNH6" s="178"/>
      <c r="CNI6" s="178"/>
      <c r="CNJ6" s="178"/>
      <c r="CNK6" s="178"/>
      <c r="CNL6" s="178"/>
      <c r="CNM6" s="178"/>
      <c r="CNN6" s="178"/>
      <c r="CNO6" s="178"/>
      <c r="CNP6" s="178"/>
      <c r="CNQ6" s="178"/>
      <c r="CNR6" s="178"/>
      <c r="CNS6" s="178"/>
      <c r="CNT6" s="178"/>
      <c r="CNU6" s="178"/>
      <c r="CNV6" s="178"/>
      <c r="CNW6" s="178"/>
      <c r="CNX6" s="178"/>
      <c r="CNY6" s="178"/>
      <c r="CNZ6" s="178"/>
      <c r="COA6" s="178"/>
      <c r="COB6" s="178"/>
      <c r="COC6" s="178"/>
      <c r="COD6" s="178"/>
      <c r="COE6" s="178"/>
      <c r="COF6" s="178"/>
      <c r="COG6" s="178"/>
      <c r="COH6" s="178"/>
      <c r="COI6" s="178"/>
      <c r="COJ6" s="178"/>
      <c r="COK6" s="178"/>
      <c r="COL6" s="178"/>
      <c r="COM6" s="178"/>
      <c r="CON6" s="178"/>
      <c r="COO6" s="178"/>
      <c r="COP6" s="178"/>
      <c r="COQ6" s="178"/>
      <c r="COR6" s="178"/>
      <c r="COS6" s="178"/>
      <c r="COT6" s="178"/>
      <c r="COU6" s="178"/>
      <c r="COV6" s="178"/>
      <c r="COW6" s="178"/>
      <c r="COX6" s="178"/>
      <c r="COY6" s="178"/>
      <c r="COZ6" s="178"/>
      <c r="CPA6" s="178"/>
      <c r="CPB6" s="178"/>
      <c r="CPC6" s="178"/>
      <c r="CPD6" s="178"/>
      <c r="CPE6" s="178"/>
      <c r="CPF6" s="178"/>
      <c r="CPG6" s="178"/>
      <c r="CPH6" s="178"/>
      <c r="CPI6" s="178"/>
      <c r="CPJ6" s="178"/>
      <c r="CPK6" s="178"/>
      <c r="CPL6" s="178"/>
      <c r="CPM6" s="178"/>
      <c r="CPN6" s="178"/>
      <c r="CPO6" s="178"/>
      <c r="CPP6" s="178"/>
      <c r="CPQ6" s="178"/>
      <c r="CPR6" s="178"/>
      <c r="CPS6" s="178"/>
      <c r="CPT6" s="178"/>
      <c r="CPU6" s="178"/>
      <c r="CPV6" s="178"/>
      <c r="CPW6" s="178"/>
      <c r="CPX6" s="178"/>
      <c r="CPY6" s="178"/>
      <c r="CPZ6" s="178"/>
      <c r="CQA6" s="178"/>
      <c r="CQB6" s="178"/>
      <c r="CQC6" s="178"/>
      <c r="CQD6" s="178"/>
      <c r="CQE6" s="178"/>
      <c r="CQF6" s="178"/>
      <c r="CQG6" s="178"/>
      <c r="CQH6" s="178"/>
      <c r="CQI6" s="178"/>
      <c r="CQJ6" s="178"/>
      <c r="CQK6" s="178"/>
      <c r="CQL6" s="178"/>
      <c r="CQM6" s="178"/>
      <c r="CQN6" s="178"/>
      <c r="CQO6" s="178"/>
      <c r="CQP6" s="178"/>
      <c r="CQQ6" s="178"/>
      <c r="CQR6" s="178"/>
      <c r="CQS6" s="178"/>
      <c r="CQT6" s="178"/>
      <c r="CQU6" s="178"/>
      <c r="CQV6" s="178"/>
      <c r="CQW6" s="178"/>
      <c r="CQX6" s="178"/>
      <c r="CQY6" s="178"/>
      <c r="CQZ6" s="178"/>
      <c r="CRA6" s="178"/>
      <c r="CRB6" s="178"/>
      <c r="CRC6" s="178"/>
      <c r="CRD6" s="178"/>
      <c r="CRE6" s="178"/>
      <c r="CRF6" s="178"/>
      <c r="CRG6" s="178"/>
      <c r="CRH6" s="178"/>
      <c r="CRI6" s="178"/>
      <c r="CRJ6" s="178"/>
      <c r="CRK6" s="178"/>
      <c r="CRL6" s="178"/>
      <c r="CRM6" s="178"/>
      <c r="CRN6" s="178"/>
      <c r="CRO6" s="178"/>
      <c r="CRP6" s="178"/>
      <c r="CRQ6" s="178"/>
      <c r="CRR6" s="178"/>
      <c r="CRS6" s="178"/>
      <c r="CRT6" s="178"/>
      <c r="CRU6" s="178"/>
      <c r="CRV6" s="178"/>
      <c r="CRW6" s="178"/>
      <c r="CRX6" s="178"/>
      <c r="CRY6" s="178"/>
      <c r="CRZ6" s="178"/>
      <c r="CSA6" s="178"/>
      <c r="CSB6" s="178"/>
      <c r="CSC6" s="178"/>
      <c r="CSD6" s="178"/>
      <c r="CSE6" s="178"/>
      <c r="CSF6" s="178"/>
      <c r="CSG6" s="178"/>
      <c r="CSH6" s="178"/>
      <c r="CSI6" s="178"/>
      <c r="CSJ6" s="178"/>
      <c r="CSK6" s="178"/>
      <c r="CSL6" s="178"/>
      <c r="CSM6" s="178"/>
      <c r="CSN6" s="178"/>
      <c r="CSO6" s="178"/>
      <c r="CSP6" s="178"/>
      <c r="CSQ6" s="178"/>
      <c r="CSR6" s="178"/>
      <c r="CSS6" s="178"/>
      <c r="CST6" s="178"/>
      <c r="CSU6" s="178"/>
      <c r="CSV6" s="178"/>
      <c r="CSW6" s="178"/>
      <c r="CSX6" s="178"/>
      <c r="CSY6" s="178"/>
      <c r="CSZ6" s="178"/>
      <c r="CTA6" s="178"/>
      <c r="CTB6" s="178"/>
      <c r="CTC6" s="178"/>
      <c r="CTD6" s="178"/>
      <c r="CTE6" s="178"/>
      <c r="CTF6" s="178"/>
      <c r="CTG6" s="178"/>
      <c r="CTH6" s="178"/>
      <c r="CTI6" s="178"/>
      <c r="CTJ6" s="178"/>
      <c r="CTK6" s="178"/>
      <c r="CTL6" s="178"/>
      <c r="CTM6" s="178"/>
      <c r="CTN6" s="178"/>
      <c r="CTO6" s="178"/>
      <c r="CTP6" s="178"/>
      <c r="CTQ6" s="178"/>
      <c r="CTR6" s="178"/>
      <c r="CTS6" s="178"/>
      <c r="CTT6" s="178"/>
      <c r="CTU6" s="178"/>
      <c r="CTV6" s="178"/>
      <c r="CTW6" s="178"/>
      <c r="CTX6" s="178"/>
      <c r="CTY6" s="178"/>
      <c r="CTZ6" s="178"/>
      <c r="CUA6" s="178"/>
      <c r="CUB6" s="178"/>
      <c r="CUC6" s="178"/>
      <c r="CUD6" s="178"/>
      <c r="CUE6" s="178"/>
      <c r="CUF6" s="178"/>
      <c r="CUG6" s="178"/>
      <c r="CUH6" s="178"/>
      <c r="CUI6" s="178"/>
      <c r="CUJ6" s="178"/>
      <c r="CUK6" s="178"/>
      <c r="CUL6" s="178"/>
      <c r="CUM6" s="178"/>
      <c r="CUN6" s="178"/>
      <c r="CUO6" s="178"/>
      <c r="CUP6" s="178"/>
      <c r="CUQ6" s="178"/>
      <c r="CUR6" s="178"/>
      <c r="CUS6" s="178"/>
      <c r="CUT6" s="178"/>
      <c r="CUU6" s="178"/>
      <c r="CUV6" s="178"/>
      <c r="CUW6" s="178"/>
      <c r="CUX6" s="178"/>
      <c r="CUY6" s="178"/>
      <c r="CUZ6" s="178"/>
      <c r="CVA6" s="178"/>
      <c r="CVB6" s="178"/>
      <c r="CVC6" s="178"/>
      <c r="CVD6" s="178"/>
      <c r="CVE6" s="178"/>
      <c r="CVF6" s="178"/>
      <c r="CVG6" s="178"/>
      <c r="CVH6" s="178"/>
      <c r="CVI6" s="178"/>
      <c r="CVJ6" s="178"/>
      <c r="CVK6" s="178"/>
      <c r="CVL6" s="178"/>
      <c r="CVM6" s="178"/>
      <c r="CVN6" s="178"/>
      <c r="CVO6" s="178"/>
      <c r="CVP6" s="178"/>
      <c r="CVQ6" s="178"/>
      <c r="CVR6" s="178"/>
      <c r="CVS6" s="178"/>
      <c r="CVT6" s="178"/>
      <c r="CVU6" s="178"/>
      <c r="CVV6" s="178"/>
      <c r="CVW6" s="178"/>
      <c r="CVX6" s="178"/>
      <c r="CVY6" s="178"/>
      <c r="CVZ6" s="178"/>
      <c r="CWA6" s="178"/>
      <c r="CWB6" s="178"/>
      <c r="CWC6" s="178"/>
      <c r="CWD6" s="178"/>
      <c r="CWE6" s="178"/>
      <c r="CWF6" s="178"/>
      <c r="CWG6" s="178"/>
      <c r="CWH6" s="178"/>
      <c r="CWI6" s="178"/>
      <c r="CWJ6" s="178"/>
      <c r="CWK6" s="178"/>
      <c r="CWL6" s="178"/>
      <c r="CWM6" s="178"/>
      <c r="CWN6" s="178"/>
      <c r="CWO6" s="178"/>
      <c r="CWP6" s="178"/>
      <c r="CWQ6" s="178"/>
      <c r="CWR6" s="178"/>
      <c r="CWS6" s="178"/>
      <c r="CWT6" s="178"/>
      <c r="CWU6" s="178"/>
      <c r="CWV6" s="178"/>
      <c r="CWW6" s="178"/>
      <c r="CWX6" s="178"/>
      <c r="CWY6" s="178"/>
      <c r="CWZ6" s="178"/>
      <c r="CXA6" s="178"/>
      <c r="CXB6" s="178"/>
      <c r="CXC6" s="178"/>
      <c r="CXD6" s="178"/>
      <c r="CXE6" s="178"/>
      <c r="CXF6" s="178"/>
      <c r="CXG6" s="178"/>
      <c r="CXH6" s="178"/>
      <c r="CXI6" s="178"/>
      <c r="CXJ6" s="178"/>
      <c r="CXK6" s="178"/>
      <c r="CXL6" s="178"/>
      <c r="CXM6" s="178"/>
      <c r="CXN6" s="178"/>
      <c r="CXO6" s="178"/>
      <c r="CXP6" s="178"/>
      <c r="CXQ6" s="178"/>
      <c r="CXR6" s="178"/>
      <c r="CXS6" s="178"/>
      <c r="CXT6" s="178"/>
      <c r="CXU6" s="178"/>
      <c r="CXV6" s="178"/>
      <c r="CXW6" s="178"/>
      <c r="CXX6" s="178"/>
      <c r="CXY6" s="178"/>
      <c r="CXZ6" s="178"/>
      <c r="CYA6" s="178"/>
      <c r="CYB6" s="178"/>
      <c r="CYC6" s="178"/>
      <c r="CYD6" s="178"/>
      <c r="CYE6" s="178"/>
      <c r="CYF6" s="178"/>
      <c r="CYG6" s="178"/>
      <c r="CYH6" s="178"/>
      <c r="CYI6" s="178"/>
      <c r="CYJ6" s="178"/>
      <c r="CYK6" s="178"/>
      <c r="CYL6" s="178"/>
      <c r="CYM6" s="178"/>
      <c r="CYN6" s="178"/>
      <c r="CYO6" s="178"/>
      <c r="CYP6" s="178"/>
      <c r="CYQ6" s="178"/>
      <c r="CYR6" s="178"/>
      <c r="CYS6" s="178"/>
      <c r="CYT6" s="178"/>
      <c r="CYU6" s="178"/>
      <c r="CYV6" s="178"/>
      <c r="CYW6" s="178"/>
      <c r="CYX6" s="178"/>
      <c r="CYY6" s="178"/>
      <c r="CYZ6" s="178"/>
      <c r="CZA6" s="178"/>
      <c r="CZB6" s="178"/>
      <c r="CZC6" s="178"/>
      <c r="CZD6" s="178"/>
      <c r="CZE6" s="178"/>
      <c r="CZF6" s="178"/>
      <c r="CZG6" s="178"/>
      <c r="CZH6" s="178"/>
      <c r="CZI6" s="178"/>
      <c r="CZJ6" s="178"/>
      <c r="CZK6" s="178"/>
      <c r="CZL6" s="178"/>
      <c r="CZM6" s="178"/>
      <c r="CZN6" s="178"/>
      <c r="CZO6" s="178"/>
      <c r="CZP6" s="178"/>
      <c r="CZQ6" s="178"/>
      <c r="CZR6" s="178"/>
      <c r="CZS6" s="178"/>
      <c r="CZT6" s="178"/>
      <c r="CZU6" s="178"/>
      <c r="CZV6" s="178"/>
      <c r="CZW6" s="178"/>
      <c r="CZX6" s="178"/>
      <c r="CZY6" s="178"/>
      <c r="CZZ6" s="178"/>
      <c r="DAA6" s="178"/>
      <c r="DAB6" s="178"/>
      <c r="DAC6" s="178"/>
      <c r="DAD6" s="178"/>
      <c r="DAE6" s="178"/>
      <c r="DAF6" s="178"/>
      <c r="DAG6" s="178"/>
      <c r="DAH6" s="178"/>
      <c r="DAI6" s="178"/>
      <c r="DAJ6" s="178"/>
      <c r="DAK6" s="178"/>
      <c r="DAL6" s="178"/>
      <c r="DAM6" s="178"/>
      <c r="DAN6" s="178"/>
      <c r="DAO6" s="178"/>
      <c r="DAP6" s="178"/>
      <c r="DAQ6" s="178"/>
      <c r="DAR6" s="178"/>
      <c r="DAS6" s="178"/>
      <c r="DAT6" s="178"/>
      <c r="DAU6" s="178"/>
      <c r="DAV6" s="178"/>
      <c r="DAW6" s="178"/>
      <c r="DAX6" s="178"/>
      <c r="DAY6" s="178"/>
      <c r="DAZ6" s="178"/>
      <c r="DBA6" s="178"/>
      <c r="DBB6" s="178"/>
      <c r="DBC6" s="178"/>
      <c r="DBD6" s="178"/>
      <c r="DBE6" s="178"/>
      <c r="DBF6" s="178"/>
      <c r="DBG6" s="178"/>
      <c r="DBH6" s="178"/>
      <c r="DBI6" s="178"/>
      <c r="DBJ6" s="178"/>
      <c r="DBK6" s="178"/>
      <c r="DBL6" s="178"/>
      <c r="DBM6" s="178"/>
      <c r="DBN6" s="178"/>
      <c r="DBO6" s="178"/>
      <c r="DBP6" s="178"/>
      <c r="DBQ6" s="178"/>
      <c r="DBR6" s="178"/>
      <c r="DBS6" s="178"/>
      <c r="DBT6" s="178"/>
      <c r="DBU6" s="178"/>
      <c r="DBV6" s="178"/>
      <c r="DBW6" s="178"/>
      <c r="DBX6" s="178"/>
      <c r="DBY6" s="178"/>
      <c r="DBZ6" s="178"/>
      <c r="DCA6" s="178"/>
      <c r="DCB6" s="178"/>
      <c r="DCC6" s="178"/>
      <c r="DCD6" s="178"/>
      <c r="DCE6" s="178"/>
      <c r="DCF6" s="178"/>
      <c r="DCG6" s="178"/>
      <c r="DCH6" s="178"/>
      <c r="DCI6" s="178"/>
      <c r="DCJ6" s="178"/>
      <c r="DCK6" s="178"/>
      <c r="DCL6" s="178"/>
      <c r="DCM6" s="178"/>
      <c r="DCN6" s="178"/>
      <c r="DCO6" s="178"/>
      <c r="DCP6" s="178"/>
      <c r="DCQ6" s="178"/>
      <c r="DCR6" s="178"/>
      <c r="DCS6" s="178"/>
      <c r="DCT6" s="178"/>
      <c r="DCU6" s="178"/>
      <c r="DCV6" s="178"/>
      <c r="DCW6" s="178"/>
      <c r="DCX6" s="178"/>
      <c r="DCY6" s="178"/>
      <c r="DCZ6" s="178"/>
      <c r="DDA6" s="178"/>
      <c r="DDB6" s="178"/>
      <c r="DDC6" s="178"/>
      <c r="DDD6" s="178"/>
      <c r="DDE6" s="178"/>
      <c r="DDF6" s="178"/>
      <c r="DDG6" s="178"/>
      <c r="DDH6" s="178"/>
      <c r="DDI6" s="178"/>
      <c r="DDJ6" s="178"/>
      <c r="DDK6" s="178"/>
      <c r="DDL6" s="178"/>
      <c r="DDM6" s="178"/>
      <c r="DDN6" s="178"/>
      <c r="DDO6" s="178"/>
      <c r="DDP6" s="178"/>
      <c r="DDQ6" s="178"/>
      <c r="DDR6" s="178"/>
      <c r="DDS6" s="178"/>
      <c r="DDT6" s="178"/>
      <c r="DDU6" s="178"/>
      <c r="DDV6" s="178"/>
      <c r="DDW6" s="178"/>
      <c r="DDX6" s="178"/>
      <c r="DDY6" s="178"/>
      <c r="DDZ6" s="178"/>
      <c r="DEA6" s="178"/>
      <c r="DEB6" s="178"/>
      <c r="DEC6" s="178"/>
      <c r="DED6" s="178"/>
      <c r="DEE6" s="178"/>
      <c r="DEF6" s="178"/>
      <c r="DEG6" s="178"/>
      <c r="DEH6" s="178"/>
      <c r="DEI6" s="178"/>
      <c r="DEJ6" s="178"/>
      <c r="DEK6" s="178"/>
      <c r="DEL6" s="178"/>
      <c r="DEM6" s="178"/>
      <c r="DEN6" s="178"/>
      <c r="DEO6" s="178"/>
      <c r="DEP6" s="178"/>
      <c r="DEQ6" s="178"/>
      <c r="DER6" s="178"/>
      <c r="DES6" s="178"/>
      <c r="DET6" s="178"/>
      <c r="DEU6" s="178"/>
      <c r="DEV6" s="178"/>
      <c r="DEW6" s="178"/>
      <c r="DEX6" s="178"/>
      <c r="DEY6" s="178"/>
      <c r="DEZ6" s="178"/>
      <c r="DFA6" s="178"/>
      <c r="DFB6" s="178"/>
      <c r="DFC6" s="178"/>
      <c r="DFD6" s="178"/>
      <c r="DFE6" s="178"/>
      <c r="DFF6" s="178"/>
      <c r="DFG6" s="178"/>
      <c r="DFH6" s="178"/>
      <c r="DFI6" s="178"/>
      <c r="DFJ6" s="178"/>
      <c r="DFK6" s="178"/>
      <c r="DFL6" s="178"/>
      <c r="DFM6" s="178"/>
      <c r="DFN6" s="178"/>
      <c r="DFO6" s="178"/>
      <c r="DFP6" s="178"/>
      <c r="DFQ6" s="178"/>
      <c r="DFR6" s="178"/>
      <c r="DFS6" s="178"/>
      <c r="DFT6" s="178"/>
      <c r="DFU6" s="178"/>
      <c r="DFV6" s="178"/>
      <c r="DFW6" s="178"/>
      <c r="DFX6" s="178"/>
      <c r="DFY6" s="178"/>
      <c r="DFZ6" s="178"/>
      <c r="DGA6" s="178"/>
      <c r="DGB6" s="178"/>
      <c r="DGC6" s="178"/>
      <c r="DGD6" s="178"/>
      <c r="DGE6" s="178"/>
      <c r="DGF6" s="178"/>
      <c r="DGG6" s="178"/>
      <c r="DGH6" s="178"/>
      <c r="DGI6" s="178"/>
      <c r="DGJ6" s="178"/>
      <c r="DGK6" s="178"/>
      <c r="DGL6" s="178"/>
      <c r="DGM6" s="178"/>
      <c r="DGN6" s="178"/>
      <c r="DGO6" s="178"/>
      <c r="DGP6" s="178"/>
      <c r="DGQ6" s="178"/>
      <c r="DGR6" s="178"/>
      <c r="DGS6" s="178"/>
      <c r="DGT6" s="178"/>
      <c r="DGU6" s="178"/>
      <c r="DGV6" s="178"/>
      <c r="DGW6" s="178"/>
      <c r="DGX6" s="178"/>
      <c r="DGY6" s="178"/>
      <c r="DGZ6" s="178"/>
      <c r="DHA6" s="178"/>
      <c r="DHB6" s="178"/>
      <c r="DHC6" s="178"/>
      <c r="DHD6" s="178"/>
      <c r="DHE6" s="178"/>
      <c r="DHF6" s="178"/>
      <c r="DHG6" s="178"/>
      <c r="DHH6" s="178"/>
      <c r="DHI6" s="178"/>
      <c r="DHJ6" s="178"/>
      <c r="DHK6" s="178"/>
      <c r="DHL6" s="178"/>
      <c r="DHM6" s="178"/>
      <c r="DHN6" s="178"/>
      <c r="DHO6" s="178"/>
      <c r="DHP6" s="178"/>
      <c r="DHQ6" s="178"/>
      <c r="DHR6" s="178"/>
      <c r="DHS6" s="178"/>
      <c r="DHT6" s="178"/>
      <c r="DHU6" s="178"/>
      <c r="DHV6" s="178"/>
    </row>
    <row r="7" spans="1:2934" s="32" customFormat="1" ht="24" customHeight="1" x14ac:dyDescent="0.35">
      <c r="A7" s="40">
        <v>2</v>
      </c>
      <c r="B7" s="99" t="s">
        <v>117</v>
      </c>
      <c r="C7" s="41">
        <v>2000</v>
      </c>
      <c r="D7" s="86">
        <v>1</v>
      </c>
      <c r="E7" s="86">
        <v>1.5</v>
      </c>
      <c r="F7" s="86">
        <v>2.5</v>
      </c>
      <c r="G7" s="86">
        <v>1.5</v>
      </c>
      <c r="H7" s="86">
        <v>1.5</v>
      </c>
      <c r="I7" s="86">
        <v>1.5</v>
      </c>
      <c r="J7" s="86">
        <v>1</v>
      </c>
      <c r="K7" s="86">
        <v>0</v>
      </c>
      <c r="L7" s="86">
        <v>1.5</v>
      </c>
      <c r="M7" s="86">
        <v>2.5</v>
      </c>
      <c r="N7" s="86">
        <v>1.5</v>
      </c>
      <c r="O7" s="86">
        <v>2.5</v>
      </c>
      <c r="P7" s="86">
        <v>2.5</v>
      </c>
      <c r="Q7" s="86">
        <v>2.5</v>
      </c>
      <c r="R7" s="86">
        <v>2.5</v>
      </c>
      <c r="S7" s="86">
        <v>2.5</v>
      </c>
      <c r="T7" s="86">
        <v>1.5</v>
      </c>
      <c r="U7" s="86">
        <v>1.5</v>
      </c>
      <c r="V7" s="86">
        <v>1</v>
      </c>
      <c r="W7" s="86">
        <v>1.5</v>
      </c>
      <c r="X7" s="86">
        <v>1.5</v>
      </c>
      <c r="Y7" s="86">
        <v>1.5</v>
      </c>
      <c r="Z7" s="86">
        <v>1.5</v>
      </c>
      <c r="AA7" s="86">
        <v>2.5</v>
      </c>
      <c r="AB7" s="86">
        <v>1.5</v>
      </c>
      <c r="AC7" s="86">
        <v>1</v>
      </c>
      <c r="AD7" s="86">
        <v>1.5</v>
      </c>
      <c r="AE7" s="86">
        <v>1.5</v>
      </c>
      <c r="AF7" s="86">
        <v>2</v>
      </c>
      <c r="AG7" s="86">
        <v>1.5</v>
      </c>
      <c r="AH7" s="86"/>
      <c r="AI7" s="41">
        <f t="shared" si="0"/>
        <v>50</v>
      </c>
      <c r="AJ7" s="31">
        <v>44441</v>
      </c>
      <c r="AK7" s="19"/>
      <c r="AL7" s="95"/>
      <c r="AM7" s="22">
        <f>AI7*AL6</f>
        <v>2622.1491228070176</v>
      </c>
      <c r="AN7" s="84">
        <f t="shared" ref="AN7:AN35" si="1">C7-AM7</f>
        <v>-622.14912280701765</v>
      </c>
      <c r="AO7" s="30" t="s">
        <v>123</v>
      </c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99" t="s">
        <v>118</v>
      </c>
      <c r="C8" s="41">
        <f>2000+80</f>
        <v>2080</v>
      </c>
      <c r="D8" s="86">
        <v>1</v>
      </c>
      <c r="E8" s="86">
        <v>1.5</v>
      </c>
      <c r="F8" s="86">
        <v>1</v>
      </c>
      <c r="G8" s="86">
        <v>1.5</v>
      </c>
      <c r="H8" s="86">
        <v>1.5</v>
      </c>
      <c r="I8" s="86">
        <v>1.5</v>
      </c>
      <c r="J8" s="86">
        <v>1</v>
      </c>
      <c r="K8" s="86">
        <v>0</v>
      </c>
      <c r="L8" s="86">
        <v>1.5</v>
      </c>
      <c r="M8" s="86">
        <v>3.5</v>
      </c>
      <c r="N8" s="86">
        <v>1.5</v>
      </c>
      <c r="O8" s="86">
        <v>2.5</v>
      </c>
      <c r="P8" s="86">
        <v>2.5</v>
      </c>
      <c r="Q8" s="86">
        <v>2.5</v>
      </c>
      <c r="R8" s="86">
        <v>2.5</v>
      </c>
      <c r="S8" s="86">
        <v>2.5</v>
      </c>
      <c r="T8" s="86">
        <v>1.5</v>
      </c>
      <c r="U8" s="86">
        <v>1.5</v>
      </c>
      <c r="V8" s="86">
        <v>1</v>
      </c>
      <c r="W8" s="86">
        <v>1.5</v>
      </c>
      <c r="X8" s="86">
        <v>1.5</v>
      </c>
      <c r="Y8" s="86">
        <v>1.5</v>
      </c>
      <c r="Z8" s="86">
        <v>2</v>
      </c>
      <c r="AA8" s="86">
        <v>3.5</v>
      </c>
      <c r="AB8" s="86">
        <v>1.5</v>
      </c>
      <c r="AC8" s="86">
        <v>1</v>
      </c>
      <c r="AD8" s="86">
        <v>1.5</v>
      </c>
      <c r="AE8" s="86">
        <v>1.5</v>
      </c>
      <c r="AF8" s="86">
        <v>1</v>
      </c>
      <c r="AG8" s="86">
        <v>1.5</v>
      </c>
      <c r="AH8" s="86"/>
      <c r="AI8" s="41">
        <f t="shared" si="0"/>
        <v>50</v>
      </c>
      <c r="AJ8" s="31">
        <v>44442</v>
      </c>
      <c r="AK8" s="19">
        <v>2150</v>
      </c>
      <c r="AL8" s="95"/>
      <c r="AM8" s="22">
        <f>AI8*AL6</f>
        <v>2622.1491228070176</v>
      </c>
      <c r="AN8" s="84">
        <f>C8-AM8</f>
        <v>-542.14912280701765</v>
      </c>
      <c r="AO8" s="30" t="s">
        <v>123</v>
      </c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5" customFormat="1" ht="24" customHeight="1" x14ac:dyDescent="0.35">
      <c r="A9" s="167">
        <v>4</v>
      </c>
      <c r="B9" s="168" t="s">
        <v>124</v>
      </c>
      <c r="C9" s="169">
        <v>1500</v>
      </c>
      <c r="D9" s="44">
        <v>1</v>
      </c>
      <c r="E9" s="44">
        <v>0</v>
      </c>
      <c r="F9" s="44">
        <v>0</v>
      </c>
      <c r="G9" s="44">
        <v>1</v>
      </c>
      <c r="H9" s="44">
        <v>1</v>
      </c>
      <c r="I9" s="44">
        <v>1</v>
      </c>
      <c r="J9" s="44">
        <v>1</v>
      </c>
      <c r="K9" s="44">
        <v>0</v>
      </c>
      <c r="L9" s="44">
        <v>1</v>
      </c>
      <c r="M9" s="44">
        <v>0</v>
      </c>
      <c r="N9" s="44">
        <v>1</v>
      </c>
      <c r="O9" s="44">
        <v>1</v>
      </c>
      <c r="P9" s="44">
        <v>1</v>
      </c>
      <c r="Q9" s="44">
        <v>1</v>
      </c>
      <c r="R9" s="44">
        <v>1</v>
      </c>
      <c r="S9" s="44">
        <v>1</v>
      </c>
      <c r="T9" s="44">
        <v>2</v>
      </c>
      <c r="U9" s="44">
        <v>1</v>
      </c>
      <c r="V9" s="44">
        <v>1</v>
      </c>
      <c r="W9" s="44">
        <v>0</v>
      </c>
      <c r="X9" s="44">
        <v>0</v>
      </c>
      <c r="Y9" s="44">
        <v>1</v>
      </c>
      <c r="Z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/>
      <c r="AI9" s="169">
        <f t="shared" si="0"/>
        <v>25</v>
      </c>
      <c r="AJ9" s="170">
        <v>44443</v>
      </c>
      <c r="AK9" s="171">
        <v>60</v>
      </c>
      <c r="AL9" s="172"/>
      <c r="AM9" s="173">
        <f>AI9*AL6</f>
        <v>1311.0745614035088</v>
      </c>
      <c r="AN9" s="174">
        <f t="shared" si="1"/>
        <v>188.92543859649118</v>
      </c>
      <c r="AO9" s="175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  <c r="GU9" s="34"/>
      <c r="GV9" s="34"/>
      <c r="GW9" s="34"/>
      <c r="GX9" s="34"/>
      <c r="GY9" s="34"/>
      <c r="GZ9" s="34"/>
      <c r="HA9" s="34"/>
      <c r="HB9" s="34"/>
      <c r="HC9" s="34"/>
      <c r="HD9" s="34"/>
      <c r="HE9" s="34"/>
      <c r="HF9" s="34"/>
      <c r="HG9" s="34"/>
      <c r="HH9" s="34"/>
      <c r="HI9" s="34"/>
      <c r="HJ9" s="34"/>
      <c r="HK9" s="34"/>
      <c r="HL9" s="34"/>
      <c r="HM9" s="34"/>
      <c r="HN9" s="34"/>
      <c r="HO9" s="34"/>
      <c r="HP9" s="34"/>
      <c r="HQ9" s="34"/>
      <c r="HR9" s="34"/>
      <c r="HS9" s="34"/>
      <c r="HT9" s="34"/>
      <c r="HU9" s="34"/>
      <c r="HV9" s="34"/>
      <c r="HW9" s="34"/>
      <c r="HX9" s="34"/>
      <c r="HY9" s="34"/>
      <c r="HZ9" s="34"/>
      <c r="IA9" s="34"/>
      <c r="IB9" s="34"/>
      <c r="IC9" s="34"/>
      <c r="ID9" s="34"/>
      <c r="IE9" s="34"/>
      <c r="IF9" s="34"/>
      <c r="IG9" s="34"/>
      <c r="IH9" s="34"/>
      <c r="II9" s="34"/>
      <c r="IJ9" s="34"/>
      <c r="IK9" s="34"/>
      <c r="IL9" s="34"/>
      <c r="IM9" s="34"/>
      <c r="IN9" s="34"/>
      <c r="IO9" s="34"/>
      <c r="IP9" s="34"/>
      <c r="IQ9" s="34"/>
      <c r="IR9" s="34"/>
      <c r="IS9" s="34"/>
      <c r="IT9" s="34"/>
      <c r="IU9" s="34"/>
      <c r="IV9" s="34"/>
      <c r="IW9" s="34"/>
      <c r="IX9" s="34"/>
      <c r="IY9" s="34"/>
      <c r="IZ9" s="34"/>
      <c r="JA9" s="34"/>
      <c r="JB9" s="34"/>
      <c r="JC9" s="34"/>
      <c r="JD9" s="34"/>
      <c r="JE9" s="34"/>
      <c r="JF9" s="34"/>
      <c r="JG9" s="34"/>
      <c r="JH9" s="34"/>
      <c r="JI9" s="34"/>
      <c r="JJ9" s="34"/>
      <c r="JK9" s="34"/>
      <c r="JL9" s="34"/>
      <c r="JM9" s="34"/>
      <c r="JN9" s="34"/>
      <c r="JO9" s="34"/>
      <c r="JP9" s="34"/>
      <c r="JQ9" s="34"/>
      <c r="JR9" s="34"/>
      <c r="JS9" s="34"/>
      <c r="JT9" s="34"/>
      <c r="JU9" s="34"/>
      <c r="JV9" s="34"/>
      <c r="JW9" s="34"/>
      <c r="JX9" s="34"/>
      <c r="JY9" s="34"/>
      <c r="JZ9" s="34"/>
      <c r="KA9" s="34"/>
      <c r="KB9" s="34"/>
      <c r="KC9" s="34"/>
      <c r="KD9" s="34"/>
      <c r="KE9" s="34"/>
      <c r="KF9" s="34"/>
      <c r="KG9" s="34"/>
      <c r="KH9" s="34"/>
      <c r="KI9" s="34"/>
      <c r="KJ9" s="34"/>
      <c r="KK9" s="34"/>
      <c r="KL9" s="34"/>
      <c r="KM9" s="34"/>
      <c r="KN9" s="34"/>
      <c r="KO9" s="34"/>
      <c r="KP9" s="34"/>
      <c r="KQ9" s="34"/>
      <c r="KR9" s="34"/>
      <c r="KS9" s="34"/>
      <c r="KT9" s="34"/>
      <c r="KU9" s="34"/>
      <c r="KV9" s="34"/>
      <c r="KW9" s="34"/>
      <c r="KX9" s="34"/>
      <c r="KY9" s="34"/>
      <c r="KZ9" s="34"/>
      <c r="LA9" s="34"/>
      <c r="LB9" s="34"/>
      <c r="LC9" s="34"/>
      <c r="LD9" s="34"/>
      <c r="LE9" s="34"/>
      <c r="LF9" s="34"/>
      <c r="LG9" s="34"/>
      <c r="LH9" s="34"/>
      <c r="LI9" s="34"/>
      <c r="LJ9" s="34"/>
      <c r="LK9" s="34"/>
      <c r="LL9" s="34"/>
      <c r="LM9" s="34"/>
      <c r="LN9" s="34"/>
      <c r="LO9" s="34"/>
      <c r="LP9" s="34"/>
      <c r="LQ9" s="34"/>
      <c r="LR9" s="34"/>
      <c r="LS9" s="34"/>
      <c r="LT9" s="34"/>
      <c r="LU9" s="34"/>
      <c r="LV9" s="34"/>
      <c r="LW9" s="34"/>
      <c r="LX9" s="34"/>
      <c r="LY9" s="34"/>
      <c r="LZ9" s="34"/>
      <c r="MA9" s="34"/>
      <c r="MB9" s="34"/>
      <c r="MC9" s="34"/>
      <c r="MD9" s="34"/>
      <c r="ME9" s="34"/>
      <c r="MF9" s="34"/>
      <c r="MG9" s="34"/>
      <c r="MH9" s="34"/>
      <c r="MI9" s="34"/>
      <c r="MJ9" s="34"/>
      <c r="MK9" s="34"/>
      <c r="ML9" s="34"/>
      <c r="MM9" s="34"/>
      <c r="MN9" s="34"/>
      <c r="MO9" s="34"/>
      <c r="MP9" s="34"/>
      <c r="MQ9" s="34"/>
      <c r="MR9" s="34"/>
      <c r="MS9" s="34"/>
      <c r="MT9" s="34"/>
      <c r="MU9" s="34"/>
      <c r="MV9" s="34"/>
      <c r="MW9" s="34"/>
      <c r="MX9" s="34"/>
      <c r="MY9" s="34"/>
      <c r="MZ9" s="34"/>
      <c r="NA9" s="34"/>
      <c r="NB9" s="34"/>
      <c r="NC9" s="34"/>
      <c r="ND9" s="34"/>
      <c r="NE9" s="34"/>
      <c r="NF9" s="34"/>
      <c r="NG9" s="34"/>
      <c r="NH9" s="34"/>
      <c r="NI9" s="34"/>
      <c r="NJ9" s="34"/>
      <c r="NK9" s="34"/>
      <c r="NL9" s="34"/>
      <c r="NM9" s="34"/>
      <c r="NN9" s="34"/>
      <c r="NO9" s="34"/>
      <c r="NP9" s="34"/>
      <c r="NQ9" s="34"/>
      <c r="NR9" s="34"/>
      <c r="NS9" s="34"/>
      <c r="NT9" s="34"/>
      <c r="NU9" s="34"/>
      <c r="NV9" s="34"/>
      <c r="NW9" s="34"/>
      <c r="NX9" s="34"/>
      <c r="NY9" s="34"/>
      <c r="NZ9" s="34"/>
      <c r="OA9" s="34"/>
      <c r="OB9" s="34"/>
      <c r="OC9" s="34"/>
      <c r="OD9" s="34"/>
      <c r="OE9" s="34"/>
      <c r="OF9" s="34"/>
      <c r="OG9" s="34"/>
      <c r="OH9" s="34"/>
      <c r="OI9" s="34"/>
      <c r="OJ9" s="34"/>
      <c r="OK9" s="34"/>
      <c r="OL9" s="34"/>
      <c r="OM9" s="34"/>
      <c r="ON9" s="34"/>
      <c r="OO9" s="34"/>
      <c r="OP9" s="34"/>
      <c r="OQ9" s="34"/>
      <c r="OR9" s="34"/>
      <c r="OS9" s="34"/>
      <c r="OT9" s="34"/>
      <c r="OU9" s="34"/>
      <c r="OV9" s="34"/>
      <c r="OW9" s="34"/>
      <c r="OX9" s="34"/>
      <c r="OY9" s="34"/>
      <c r="OZ9" s="34"/>
      <c r="PA9" s="34"/>
      <c r="PB9" s="34"/>
      <c r="PC9" s="34"/>
      <c r="PD9" s="34"/>
      <c r="PE9" s="34"/>
      <c r="PF9" s="34"/>
      <c r="PG9" s="34"/>
      <c r="PH9" s="34"/>
      <c r="PI9" s="34"/>
      <c r="PJ9" s="34"/>
      <c r="PK9" s="34"/>
      <c r="PL9" s="34"/>
      <c r="PM9" s="34"/>
      <c r="PN9" s="34"/>
      <c r="PO9" s="34"/>
      <c r="PP9" s="34"/>
      <c r="PQ9" s="34"/>
      <c r="PR9" s="34"/>
      <c r="PS9" s="34"/>
      <c r="PT9" s="34"/>
      <c r="PU9" s="34"/>
      <c r="PV9" s="34"/>
      <c r="PW9" s="34"/>
      <c r="PX9" s="34"/>
      <c r="PY9" s="34"/>
      <c r="PZ9" s="34"/>
      <c r="QA9" s="34"/>
      <c r="QB9" s="34"/>
      <c r="QC9" s="34"/>
      <c r="QD9" s="34"/>
      <c r="QE9" s="34"/>
      <c r="QF9" s="34"/>
      <c r="QG9" s="34"/>
      <c r="QH9" s="34"/>
      <c r="QI9" s="34"/>
      <c r="QJ9" s="34"/>
      <c r="QK9" s="34"/>
      <c r="QL9" s="34"/>
      <c r="QM9" s="34"/>
      <c r="QN9" s="34"/>
      <c r="QO9" s="34"/>
      <c r="QP9" s="34"/>
      <c r="QQ9" s="34"/>
      <c r="QR9" s="34"/>
      <c r="QS9" s="34"/>
      <c r="QT9" s="34"/>
      <c r="QU9" s="34"/>
      <c r="QV9" s="34"/>
      <c r="QW9" s="34"/>
      <c r="QX9" s="34"/>
      <c r="QY9" s="34"/>
      <c r="QZ9" s="34"/>
      <c r="RA9" s="34"/>
      <c r="RB9" s="34"/>
      <c r="RC9" s="34"/>
      <c r="RD9" s="34"/>
      <c r="RE9" s="34"/>
      <c r="RF9" s="34"/>
      <c r="RG9" s="34"/>
      <c r="RH9" s="34"/>
      <c r="RI9" s="34"/>
      <c r="RJ9" s="34"/>
      <c r="RK9" s="34"/>
      <c r="RL9" s="34"/>
      <c r="RM9" s="34"/>
      <c r="RN9" s="34"/>
      <c r="RO9" s="34"/>
      <c r="RP9" s="34"/>
      <c r="RQ9" s="34"/>
      <c r="RR9" s="34"/>
      <c r="RS9" s="34"/>
      <c r="RT9" s="34"/>
      <c r="RU9" s="34"/>
      <c r="RV9" s="34"/>
      <c r="RW9" s="34"/>
      <c r="RX9" s="34"/>
      <c r="RY9" s="34"/>
      <c r="RZ9" s="34"/>
      <c r="SA9" s="34"/>
      <c r="SB9" s="34"/>
      <c r="SC9" s="34"/>
      <c r="SD9" s="34"/>
      <c r="SE9" s="34"/>
      <c r="SF9" s="34"/>
      <c r="SG9" s="34"/>
      <c r="SH9" s="34"/>
      <c r="SI9" s="34"/>
      <c r="SJ9" s="34"/>
      <c r="SK9" s="34"/>
      <c r="SL9" s="34"/>
      <c r="SM9" s="34"/>
      <c r="SN9" s="34"/>
      <c r="SO9" s="34"/>
      <c r="SP9" s="34"/>
      <c r="SQ9" s="34"/>
      <c r="SR9" s="34"/>
      <c r="SS9" s="34"/>
      <c r="ST9" s="34"/>
      <c r="SU9" s="34"/>
      <c r="SV9" s="34"/>
      <c r="SW9" s="34"/>
      <c r="SX9" s="34"/>
      <c r="SY9" s="34"/>
      <c r="SZ9" s="34"/>
      <c r="TA9" s="34"/>
      <c r="TB9" s="34"/>
      <c r="TC9" s="34"/>
      <c r="TD9" s="34"/>
      <c r="TE9" s="34"/>
      <c r="TF9" s="34"/>
      <c r="TG9" s="34"/>
      <c r="TH9" s="34"/>
      <c r="TI9" s="34"/>
      <c r="TJ9" s="34"/>
      <c r="TK9" s="34"/>
      <c r="TL9" s="34"/>
      <c r="TM9" s="34"/>
      <c r="TN9" s="34"/>
      <c r="TO9" s="34"/>
      <c r="TP9" s="34"/>
      <c r="TQ9" s="34"/>
      <c r="TR9" s="34"/>
      <c r="TS9" s="34"/>
      <c r="TT9" s="34"/>
      <c r="TU9" s="34"/>
      <c r="TV9" s="34"/>
      <c r="TW9" s="34"/>
      <c r="TX9" s="34"/>
      <c r="TY9" s="34"/>
      <c r="TZ9" s="34"/>
      <c r="UA9" s="34"/>
      <c r="UB9" s="34"/>
      <c r="UC9" s="34"/>
      <c r="UD9" s="34"/>
      <c r="UE9" s="34"/>
      <c r="UF9" s="34"/>
      <c r="UG9" s="34"/>
      <c r="UH9" s="34"/>
      <c r="UI9" s="34"/>
      <c r="UJ9" s="34"/>
      <c r="UK9" s="34"/>
      <c r="UL9" s="34"/>
      <c r="UM9" s="34"/>
      <c r="UN9" s="34"/>
      <c r="UO9" s="34"/>
      <c r="UP9" s="34"/>
      <c r="UQ9" s="34"/>
      <c r="UR9" s="34"/>
      <c r="US9" s="34"/>
      <c r="UT9" s="34"/>
      <c r="UU9" s="34"/>
      <c r="UV9" s="34"/>
      <c r="UW9" s="34"/>
      <c r="UX9" s="34"/>
      <c r="UY9" s="34"/>
      <c r="UZ9" s="34"/>
      <c r="VA9" s="34"/>
      <c r="VB9" s="34"/>
      <c r="VC9" s="34"/>
      <c r="VD9" s="34"/>
      <c r="VE9" s="34"/>
      <c r="VF9" s="34"/>
      <c r="VG9" s="34"/>
      <c r="VH9" s="34"/>
      <c r="VI9" s="34"/>
      <c r="VJ9" s="34"/>
      <c r="VK9" s="34"/>
      <c r="VL9" s="34"/>
      <c r="VM9" s="34"/>
      <c r="VN9" s="34"/>
      <c r="VO9" s="34"/>
      <c r="VP9" s="34"/>
      <c r="VQ9" s="34"/>
      <c r="VR9" s="34"/>
      <c r="VS9" s="34"/>
      <c r="VT9" s="34"/>
      <c r="VU9" s="34"/>
      <c r="VV9" s="34"/>
      <c r="VW9" s="34"/>
      <c r="VX9" s="34"/>
      <c r="VY9" s="34"/>
      <c r="VZ9" s="34"/>
      <c r="WA9" s="34"/>
      <c r="WB9" s="34"/>
      <c r="WC9" s="34"/>
      <c r="WD9" s="34"/>
      <c r="WE9" s="34"/>
      <c r="WF9" s="34"/>
      <c r="WG9" s="34"/>
      <c r="WH9" s="34"/>
      <c r="WI9" s="34"/>
      <c r="WJ9" s="34"/>
      <c r="WK9" s="34"/>
      <c r="WL9" s="34"/>
      <c r="WM9" s="34"/>
      <c r="WN9" s="34"/>
      <c r="WO9" s="34"/>
      <c r="WP9" s="34"/>
      <c r="WQ9" s="34"/>
      <c r="WR9" s="34"/>
      <c r="WS9" s="34"/>
      <c r="WT9" s="34"/>
      <c r="WU9" s="34"/>
      <c r="WV9" s="34"/>
      <c r="WW9" s="34"/>
      <c r="WX9" s="34"/>
      <c r="WY9" s="34"/>
      <c r="WZ9" s="34"/>
      <c r="XA9" s="34"/>
      <c r="XB9" s="34"/>
      <c r="XC9" s="34"/>
      <c r="XD9" s="34"/>
      <c r="XE9" s="34"/>
      <c r="XF9" s="34"/>
      <c r="XG9" s="34"/>
      <c r="XH9" s="34"/>
      <c r="XI9" s="34"/>
      <c r="XJ9" s="34"/>
      <c r="XK9" s="34"/>
      <c r="XL9" s="34"/>
      <c r="XM9" s="34"/>
      <c r="XN9" s="34"/>
      <c r="XO9" s="34"/>
      <c r="XP9" s="34"/>
      <c r="XQ9" s="34"/>
      <c r="XR9" s="34"/>
      <c r="XS9" s="34"/>
      <c r="XT9" s="34"/>
      <c r="XU9" s="34"/>
      <c r="XV9" s="34"/>
      <c r="XW9" s="34"/>
      <c r="XX9" s="34"/>
      <c r="XY9" s="34"/>
      <c r="XZ9" s="34"/>
      <c r="YA9" s="34"/>
      <c r="YB9" s="34"/>
      <c r="YC9" s="34"/>
      <c r="YD9" s="34"/>
      <c r="YE9" s="34"/>
      <c r="YF9" s="34"/>
      <c r="YG9" s="34"/>
      <c r="YH9" s="34"/>
      <c r="YI9" s="34"/>
      <c r="YJ9" s="34"/>
      <c r="YK9" s="34"/>
      <c r="YL9" s="34"/>
      <c r="YM9" s="34"/>
      <c r="YN9" s="34"/>
      <c r="YO9" s="34"/>
      <c r="YP9" s="34"/>
      <c r="YQ9" s="34"/>
      <c r="YR9" s="34"/>
      <c r="YS9" s="34"/>
      <c r="YT9" s="34"/>
      <c r="YU9" s="34"/>
      <c r="YV9" s="34"/>
      <c r="YW9" s="34"/>
      <c r="YX9" s="34"/>
      <c r="YY9" s="34"/>
      <c r="YZ9" s="34"/>
      <c r="ZA9" s="34"/>
      <c r="ZB9" s="34"/>
      <c r="ZC9" s="34"/>
      <c r="ZD9" s="34"/>
      <c r="ZE9" s="34"/>
      <c r="ZF9" s="34"/>
      <c r="ZG9" s="34"/>
      <c r="ZH9" s="34"/>
      <c r="ZI9" s="34"/>
      <c r="ZJ9" s="34"/>
      <c r="ZK9" s="34"/>
      <c r="ZL9" s="34"/>
      <c r="ZM9" s="34"/>
      <c r="ZN9" s="34"/>
      <c r="ZO9" s="34"/>
      <c r="ZP9" s="34"/>
      <c r="ZQ9" s="34"/>
      <c r="ZR9" s="34"/>
      <c r="ZS9" s="34"/>
      <c r="ZT9" s="34"/>
      <c r="ZU9" s="34"/>
      <c r="ZV9" s="34"/>
      <c r="ZW9" s="34"/>
      <c r="ZX9" s="34"/>
      <c r="ZY9" s="34"/>
      <c r="ZZ9" s="34"/>
      <c r="AAA9" s="34"/>
      <c r="AAB9" s="34"/>
      <c r="AAC9" s="34"/>
      <c r="AAD9" s="34"/>
      <c r="AAE9" s="34"/>
      <c r="AAF9" s="34"/>
      <c r="AAG9" s="34"/>
      <c r="AAH9" s="34"/>
      <c r="AAI9" s="34"/>
      <c r="AAJ9" s="34"/>
      <c r="AAK9" s="34"/>
      <c r="AAL9" s="34"/>
      <c r="AAM9" s="34"/>
      <c r="AAN9" s="34"/>
      <c r="AAO9" s="34"/>
      <c r="AAP9" s="34"/>
      <c r="AAQ9" s="34"/>
      <c r="AAR9" s="34"/>
      <c r="AAS9" s="34"/>
      <c r="AAT9" s="34"/>
      <c r="AAU9" s="34"/>
      <c r="AAV9" s="34"/>
      <c r="AAW9" s="34"/>
      <c r="AAX9" s="34"/>
      <c r="AAY9" s="34"/>
      <c r="AAZ9" s="34"/>
      <c r="ABA9" s="34"/>
      <c r="ABB9" s="34"/>
      <c r="ABC9" s="34"/>
      <c r="ABD9" s="34"/>
      <c r="ABE9" s="34"/>
      <c r="ABF9" s="34"/>
      <c r="ABG9" s="34"/>
      <c r="ABH9" s="34"/>
      <c r="ABI9" s="34"/>
      <c r="ABJ9" s="34"/>
      <c r="ABK9" s="34"/>
      <c r="ABL9" s="34"/>
      <c r="ABM9" s="34"/>
      <c r="ABN9" s="34"/>
      <c r="ABO9" s="34"/>
      <c r="ABP9" s="34"/>
      <c r="ABQ9" s="34"/>
      <c r="ABR9" s="34"/>
      <c r="ABS9" s="34"/>
      <c r="ABT9" s="34"/>
      <c r="ABU9" s="34"/>
      <c r="ABV9" s="34"/>
      <c r="ABW9" s="34"/>
      <c r="ABX9" s="34"/>
      <c r="ABY9" s="34"/>
      <c r="ABZ9" s="34"/>
      <c r="ACA9" s="34"/>
      <c r="ACB9" s="34"/>
      <c r="ACC9" s="34"/>
      <c r="ACD9" s="34"/>
      <c r="ACE9" s="34"/>
      <c r="ACF9" s="34"/>
      <c r="ACG9" s="34"/>
      <c r="ACH9" s="34"/>
      <c r="ACI9" s="34"/>
      <c r="ACJ9" s="34"/>
      <c r="ACK9" s="34"/>
      <c r="ACL9" s="34"/>
      <c r="ACM9" s="34"/>
      <c r="ACN9" s="34"/>
      <c r="ACO9" s="34"/>
      <c r="ACP9" s="34"/>
      <c r="ACQ9" s="34"/>
      <c r="ACR9" s="34"/>
      <c r="ACS9" s="34"/>
      <c r="ACT9" s="34"/>
      <c r="ACU9" s="34"/>
      <c r="ACV9" s="34"/>
      <c r="ACW9" s="34"/>
      <c r="ACX9" s="34"/>
      <c r="ACY9" s="34"/>
      <c r="ACZ9" s="34"/>
      <c r="ADA9" s="34"/>
      <c r="ADB9" s="34"/>
      <c r="ADC9" s="34"/>
      <c r="ADD9" s="34"/>
      <c r="ADE9" s="34"/>
      <c r="ADF9" s="34"/>
      <c r="ADG9" s="34"/>
      <c r="ADH9" s="34"/>
      <c r="ADI9" s="34"/>
      <c r="ADJ9" s="34"/>
      <c r="ADK9" s="34"/>
      <c r="ADL9" s="34"/>
      <c r="ADM9" s="34"/>
      <c r="ADN9" s="34"/>
      <c r="ADO9" s="34"/>
      <c r="ADP9" s="34"/>
      <c r="ADQ9" s="34"/>
      <c r="ADR9" s="34"/>
      <c r="ADS9" s="34"/>
      <c r="ADT9" s="34"/>
      <c r="ADU9" s="34"/>
      <c r="ADV9" s="34"/>
      <c r="ADW9" s="34"/>
      <c r="ADX9" s="34"/>
      <c r="ADY9" s="34"/>
      <c r="ADZ9" s="34"/>
      <c r="AEA9" s="34"/>
      <c r="AEB9" s="34"/>
      <c r="AEC9" s="34"/>
      <c r="AED9" s="34"/>
      <c r="AEE9" s="34"/>
      <c r="AEF9" s="34"/>
      <c r="AEG9" s="34"/>
      <c r="AEH9" s="34"/>
      <c r="AEI9" s="34"/>
      <c r="AEJ9" s="34"/>
      <c r="AEK9" s="34"/>
      <c r="AEL9" s="34"/>
      <c r="AEM9" s="34"/>
      <c r="AEN9" s="34"/>
      <c r="AEO9" s="34"/>
      <c r="AEP9" s="34"/>
      <c r="AEQ9" s="34"/>
      <c r="AER9" s="34"/>
      <c r="AES9" s="34"/>
      <c r="AET9" s="34"/>
      <c r="AEU9" s="34"/>
      <c r="AEV9" s="34"/>
      <c r="AEW9" s="34"/>
      <c r="AEX9" s="34"/>
      <c r="AEY9" s="34"/>
      <c r="AEZ9" s="34"/>
      <c r="AFA9" s="34"/>
      <c r="AFB9" s="34"/>
      <c r="AFC9" s="34"/>
      <c r="AFD9" s="34"/>
      <c r="AFE9" s="34"/>
      <c r="AFF9" s="34"/>
      <c r="AFG9" s="34"/>
      <c r="AFH9" s="34"/>
      <c r="AFI9" s="34"/>
      <c r="AFJ9" s="34"/>
      <c r="AFK9" s="34"/>
      <c r="AFL9" s="34"/>
      <c r="AFM9" s="34"/>
      <c r="AFN9" s="34"/>
      <c r="AFO9" s="34"/>
      <c r="AFP9" s="34"/>
      <c r="AFQ9" s="34"/>
      <c r="AFR9" s="34"/>
      <c r="AFS9" s="34"/>
      <c r="AFT9" s="34"/>
      <c r="AFU9" s="34"/>
      <c r="AFV9" s="34"/>
      <c r="AFW9" s="34"/>
      <c r="AFX9" s="34"/>
      <c r="AFY9" s="34"/>
      <c r="AFZ9" s="34"/>
      <c r="AGA9" s="34"/>
      <c r="AGB9" s="34"/>
      <c r="AGC9" s="34"/>
      <c r="AGD9" s="34"/>
      <c r="AGE9" s="34"/>
      <c r="AGF9" s="34"/>
      <c r="AGG9" s="34"/>
      <c r="AGH9" s="34"/>
      <c r="AGI9" s="34"/>
      <c r="AGJ9" s="34"/>
      <c r="AGK9" s="34"/>
      <c r="AGL9" s="34"/>
      <c r="AGM9" s="34"/>
      <c r="AGN9" s="34"/>
      <c r="AGO9" s="34"/>
      <c r="AGP9" s="34"/>
      <c r="AGQ9" s="34"/>
      <c r="AGR9" s="34"/>
      <c r="AGS9" s="34"/>
      <c r="AGT9" s="34"/>
      <c r="AGU9" s="34"/>
      <c r="AGV9" s="34"/>
      <c r="AGW9" s="34"/>
      <c r="AGX9" s="34"/>
      <c r="AGY9" s="34"/>
      <c r="AGZ9" s="34"/>
      <c r="AHA9" s="34"/>
      <c r="AHB9" s="34"/>
      <c r="AHC9" s="34"/>
      <c r="AHD9" s="34"/>
      <c r="AHE9" s="34"/>
      <c r="AHF9" s="34"/>
      <c r="AHG9" s="34"/>
      <c r="AHH9" s="34"/>
      <c r="AHI9" s="34"/>
      <c r="AHJ9" s="34"/>
      <c r="AHK9" s="34"/>
      <c r="AHL9" s="34"/>
      <c r="AHM9" s="34"/>
      <c r="AHN9" s="34"/>
      <c r="AHO9" s="34"/>
      <c r="AHP9" s="34"/>
      <c r="AHQ9" s="34"/>
      <c r="AHR9" s="34"/>
      <c r="AHS9" s="34"/>
      <c r="AHT9" s="34"/>
      <c r="AHU9" s="34"/>
      <c r="AHV9" s="34"/>
      <c r="AHW9" s="34"/>
      <c r="AHX9" s="34"/>
      <c r="AHY9" s="34"/>
      <c r="AHZ9" s="34"/>
      <c r="AIA9" s="34"/>
      <c r="AIB9" s="34"/>
      <c r="AIC9" s="34"/>
      <c r="AID9" s="34"/>
      <c r="AIE9" s="34"/>
      <c r="AIF9" s="34"/>
      <c r="AIG9" s="34"/>
      <c r="AIH9" s="34"/>
      <c r="AII9" s="34"/>
      <c r="AIJ9" s="34"/>
      <c r="AIK9" s="34"/>
      <c r="AIL9" s="34"/>
      <c r="AIM9" s="34"/>
      <c r="AIN9" s="34"/>
      <c r="AIO9" s="34"/>
      <c r="AIP9" s="34"/>
      <c r="AIQ9" s="34"/>
      <c r="AIR9" s="34"/>
      <c r="AIS9" s="34"/>
      <c r="AIT9" s="34"/>
      <c r="AIU9" s="34"/>
      <c r="AIV9" s="34"/>
      <c r="AIW9" s="34"/>
      <c r="AIX9" s="34"/>
      <c r="AIY9" s="34"/>
      <c r="AIZ9" s="34"/>
      <c r="AJA9" s="34"/>
      <c r="AJB9" s="34"/>
      <c r="AJC9" s="34"/>
      <c r="AJD9" s="34"/>
      <c r="AJE9" s="34"/>
      <c r="AJF9" s="34"/>
      <c r="AJG9" s="34"/>
      <c r="AJH9" s="34"/>
      <c r="AJI9" s="34"/>
      <c r="AJJ9" s="34"/>
      <c r="AJK9" s="34"/>
      <c r="AJL9" s="34"/>
      <c r="AJM9" s="34"/>
      <c r="AJN9" s="34"/>
      <c r="AJO9" s="34"/>
      <c r="AJP9" s="34"/>
      <c r="AJQ9" s="34"/>
      <c r="AJR9" s="34"/>
      <c r="AJS9" s="34"/>
      <c r="AJT9" s="34"/>
      <c r="AJU9" s="34"/>
      <c r="AJV9" s="34"/>
      <c r="AJW9" s="34"/>
      <c r="AJX9" s="34"/>
      <c r="AJY9" s="34"/>
      <c r="AJZ9" s="34"/>
      <c r="AKA9" s="34"/>
      <c r="AKB9" s="34"/>
      <c r="AKC9" s="34"/>
      <c r="AKD9" s="34"/>
      <c r="AKE9" s="34"/>
      <c r="AKF9" s="34"/>
      <c r="AKG9" s="34"/>
      <c r="AKH9" s="34"/>
      <c r="AKI9" s="34"/>
      <c r="AKJ9" s="34"/>
      <c r="AKK9" s="34"/>
      <c r="AKL9" s="34"/>
      <c r="AKM9" s="34"/>
      <c r="AKN9" s="34"/>
      <c r="AKO9" s="34"/>
      <c r="AKP9" s="34"/>
      <c r="AKQ9" s="34"/>
      <c r="AKR9" s="34"/>
      <c r="AKS9" s="34"/>
      <c r="AKT9" s="34"/>
      <c r="AKU9" s="34"/>
      <c r="AKV9" s="34"/>
      <c r="AKW9" s="34"/>
      <c r="AKX9" s="34"/>
      <c r="AKY9" s="34"/>
      <c r="AKZ9" s="34"/>
      <c r="ALA9" s="34"/>
      <c r="ALB9" s="34"/>
      <c r="ALC9" s="34"/>
      <c r="ALD9" s="34"/>
      <c r="ALE9" s="34"/>
      <c r="ALF9" s="34"/>
      <c r="ALG9" s="34"/>
      <c r="ALH9" s="34"/>
      <c r="ALI9" s="34"/>
      <c r="ALJ9" s="34"/>
      <c r="ALK9" s="34"/>
      <c r="ALL9" s="34"/>
      <c r="ALM9" s="34"/>
      <c r="ALN9" s="34"/>
      <c r="ALO9" s="34"/>
      <c r="ALP9" s="34"/>
      <c r="ALQ9" s="34"/>
      <c r="ALR9" s="34"/>
      <c r="ALS9" s="34"/>
      <c r="ALT9" s="34"/>
      <c r="ALU9" s="34"/>
      <c r="ALV9" s="34"/>
      <c r="ALW9" s="34"/>
      <c r="ALX9" s="34"/>
      <c r="ALY9" s="34"/>
      <c r="ALZ9" s="34"/>
      <c r="AMA9" s="34"/>
      <c r="AMB9" s="34"/>
      <c r="AMC9" s="34"/>
      <c r="AMD9" s="34"/>
      <c r="AME9" s="34"/>
      <c r="AMF9" s="34"/>
      <c r="AMG9" s="34"/>
      <c r="AMH9" s="34"/>
      <c r="AMI9" s="34"/>
      <c r="AMJ9" s="34"/>
      <c r="AMK9" s="34"/>
      <c r="AML9" s="34"/>
      <c r="AMM9" s="34"/>
      <c r="AMN9" s="34"/>
      <c r="AMO9" s="34"/>
      <c r="AMP9" s="34"/>
      <c r="AMQ9" s="34"/>
      <c r="AMR9" s="34"/>
      <c r="AMS9" s="34"/>
      <c r="AMT9" s="34"/>
      <c r="AMU9" s="34"/>
      <c r="AMV9" s="34"/>
      <c r="AMW9" s="34"/>
      <c r="AMX9" s="34"/>
      <c r="AMY9" s="34"/>
      <c r="AMZ9" s="34"/>
      <c r="ANA9" s="34"/>
      <c r="ANB9" s="34"/>
      <c r="ANC9" s="34"/>
      <c r="AND9" s="34"/>
      <c r="ANE9" s="34"/>
      <c r="ANF9" s="34"/>
      <c r="ANG9" s="34"/>
      <c r="ANH9" s="34"/>
      <c r="ANI9" s="34"/>
      <c r="ANJ9" s="34"/>
      <c r="ANK9" s="34"/>
      <c r="ANL9" s="34"/>
      <c r="ANM9" s="34"/>
      <c r="ANN9" s="34"/>
      <c r="ANO9" s="34"/>
      <c r="ANP9" s="34"/>
      <c r="ANQ9" s="34"/>
      <c r="ANR9" s="34"/>
      <c r="ANS9" s="34"/>
      <c r="ANT9" s="34"/>
      <c r="ANU9" s="34"/>
      <c r="ANV9" s="34"/>
      <c r="ANW9" s="34"/>
      <c r="ANX9" s="34"/>
      <c r="ANY9" s="34"/>
      <c r="ANZ9" s="34"/>
      <c r="AOA9" s="34"/>
      <c r="AOB9" s="34"/>
      <c r="AOC9" s="34"/>
      <c r="AOD9" s="34"/>
      <c r="AOE9" s="34"/>
      <c r="AOF9" s="34"/>
      <c r="AOG9" s="34"/>
      <c r="AOH9" s="34"/>
      <c r="AOI9" s="34"/>
      <c r="AOJ9" s="34"/>
      <c r="AOK9" s="34"/>
      <c r="AOL9" s="34"/>
      <c r="AOM9" s="34"/>
      <c r="AON9" s="34"/>
      <c r="AOO9" s="34"/>
      <c r="AOP9" s="34"/>
      <c r="AOQ9" s="34"/>
      <c r="AOR9" s="34"/>
      <c r="AOS9" s="34"/>
      <c r="AOT9" s="34"/>
      <c r="AOU9" s="34"/>
      <c r="AOV9" s="34"/>
      <c r="AOW9" s="34"/>
      <c r="AOX9" s="34"/>
      <c r="AOY9" s="34"/>
      <c r="AOZ9" s="34"/>
      <c r="APA9" s="34"/>
      <c r="APB9" s="34"/>
      <c r="APC9" s="34"/>
      <c r="APD9" s="34"/>
      <c r="APE9" s="34"/>
      <c r="APF9" s="34"/>
      <c r="APG9" s="34"/>
      <c r="APH9" s="34"/>
      <c r="API9" s="34"/>
      <c r="APJ9" s="34"/>
      <c r="APK9" s="34"/>
      <c r="APL9" s="34"/>
      <c r="APM9" s="34"/>
      <c r="APN9" s="34"/>
      <c r="APO9" s="34"/>
      <c r="APP9" s="34"/>
      <c r="APQ9" s="34"/>
      <c r="APR9" s="34"/>
      <c r="APS9" s="34"/>
      <c r="APT9" s="34"/>
      <c r="APU9" s="34"/>
      <c r="APV9" s="34"/>
      <c r="APW9" s="34"/>
      <c r="APX9" s="34"/>
      <c r="APY9" s="34"/>
      <c r="APZ9" s="34"/>
      <c r="AQA9" s="34"/>
      <c r="AQB9" s="34"/>
      <c r="AQC9" s="34"/>
      <c r="AQD9" s="34"/>
      <c r="AQE9" s="34"/>
      <c r="AQF9" s="34"/>
      <c r="AQG9" s="34"/>
      <c r="AQH9" s="34"/>
      <c r="AQI9" s="34"/>
      <c r="AQJ9" s="34"/>
      <c r="AQK9" s="34"/>
      <c r="AQL9" s="34"/>
      <c r="AQM9" s="34"/>
      <c r="AQN9" s="34"/>
      <c r="AQO9" s="34"/>
      <c r="AQP9" s="34"/>
      <c r="AQQ9" s="34"/>
      <c r="AQR9" s="34"/>
      <c r="AQS9" s="34"/>
      <c r="AQT9" s="34"/>
      <c r="AQU9" s="34"/>
      <c r="AQV9" s="34"/>
      <c r="AQW9" s="34"/>
      <c r="AQX9" s="34"/>
      <c r="AQY9" s="34"/>
      <c r="AQZ9" s="34"/>
      <c r="ARA9" s="34"/>
      <c r="ARB9" s="34"/>
      <c r="ARC9" s="34"/>
      <c r="ARD9" s="34"/>
      <c r="ARE9" s="34"/>
      <c r="ARF9" s="34"/>
      <c r="ARG9" s="34"/>
      <c r="ARH9" s="34"/>
      <c r="ARI9" s="34"/>
      <c r="ARJ9" s="34"/>
      <c r="ARK9" s="34"/>
      <c r="ARL9" s="34"/>
      <c r="ARM9" s="34"/>
      <c r="ARN9" s="34"/>
      <c r="ARO9" s="34"/>
      <c r="ARP9" s="34"/>
      <c r="ARQ9" s="34"/>
      <c r="ARR9" s="34"/>
      <c r="ARS9" s="34"/>
      <c r="ART9" s="34"/>
      <c r="ARU9" s="34"/>
      <c r="ARV9" s="34"/>
      <c r="ARW9" s="34"/>
      <c r="ARX9" s="34"/>
      <c r="ARY9" s="34"/>
      <c r="ARZ9" s="34"/>
      <c r="ASA9" s="34"/>
      <c r="ASB9" s="34"/>
      <c r="ASC9" s="34"/>
      <c r="ASD9" s="34"/>
      <c r="ASE9" s="34"/>
      <c r="ASF9" s="34"/>
      <c r="ASG9" s="34"/>
      <c r="ASH9" s="34"/>
      <c r="ASI9" s="34"/>
      <c r="ASJ9" s="34"/>
      <c r="ASK9" s="34"/>
      <c r="ASL9" s="34"/>
      <c r="ASM9" s="34"/>
      <c r="ASN9" s="34"/>
      <c r="ASO9" s="34"/>
      <c r="ASP9" s="34"/>
      <c r="ASQ9" s="34"/>
      <c r="ASR9" s="34"/>
      <c r="ASS9" s="34"/>
      <c r="AST9" s="34"/>
      <c r="ASU9" s="34"/>
      <c r="ASV9" s="34"/>
      <c r="ASW9" s="34"/>
      <c r="ASX9" s="34"/>
      <c r="ASY9" s="34"/>
      <c r="ASZ9" s="34"/>
      <c r="ATA9" s="34"/>
      <c r="ATB9" s="34"/>
      <c r="ATC9" s="34"/>
      <c r="ATD9" s="34"/>
      <c r="ATE9" s="34"/>
      <c r="ATF9" s="34"/>
      <c r="ATG9" s="34"/>
      <c r="ATH9" s="34"/>
      <c r="ATI9" s="34"/>
      <c r="ATJ9" s="34"/>
      <c r="ATK9" s="34"/>
      <c r="ATL9" s="34"/>
      <c r="ATM9" s="34"/>
      <c r="ATN9" s="34"/>
      <c r="ATO9" s="34"/>
      <c r="ATP9" s="34"/>
      <c r="ATQ9" s="34"/>
      <c r="ATR9" s="34"/>
      <c r="ATS9" s="34"/>
      <c r="ATT9" s="34"/>
      <c r="ATU9" s="34"/>
      <c r="ATV9" s="34"/>
      <c r="ATW9" s="34"/>
      <c r="ATX9" s="34"/>
      <c r="ATY9" s="34"/>
      <c r="ATZ9" s="34"/>
      <c r="AUA9" s="34"/>
      <c r="AUB9" s="34"/>
      <c r="AUC9" s="34"/>
      <c r="AUD9" s="34"/>
      <c r="AUE9" s="34"/>
      <c r="AUF9" s="34"/>
      <c r="AUG9" s="34"/>
      <c r="AUH9" s="34"/>
      <c r="AUI9" s="34"/>
      <c r="AUJ9" s="34"/>
      <c r="AUK9" s="34"/>
      <c r="AUL9" s="34"/>
      <c r="AUM9" s="34"/>
      <c r="AUN9" s="34"/>
      <c r="AUO9" s="34"/>
      <c r="AUP9" s="34"/>
      <c r="AUQ9" s="34"/>
      <c r="AUR9" s="34"/>
      <c r="AUS9" s="34"/>
      <c r="AUT9" s="34"/>
      <c r="AUU9" s="34"/>
      <c r="AUV9" s="34"/>
      <c r="AUW9" s="34"/>
      <c r="AUX9" s="34"/>
      <c r="AUY9" s="34"/>
      <c r="AUZ9" s="34"/>
      <c r="AVA9" s="34"/>
      <c r="AVB9" s="34"/>
      <c r="AVC9" s="34"/>
      <c r="AVD9" s="34"/>
      <c r="AVE9" s="34"/>
      <c r="AVF9" s="34"/>
      <c r="AVG9" s="34"/>
      <c r="AVH9" s="34"/>
      <c r="AVI9" s="34"/>
      <c r="AVJ9" s="34"/>
      <c r="AVK9" s="34"/>
      <c r="AVL9" s="34"/>
      <c r="AVM9" s="34"/>
      <c r="AVN9" s="34"/>
      <c r="AVO9" s="34"/>
      <c r="AVP9" s="34"/>
      <c r="AVQ9" s="34"/>
      <c r="AVR9" s="34"/>
      <c r="AVS9" s="34"/>
      <c r="AVT9" s="34"/>
      <c r="AVU9" s="34"/>
      <c r="AVV9" s="34"/>
      <c r="AVW9" s="34"/>
      <c r="AVX9" s="34"/>
      <c r="AVY9" s="34"/>
      <c r="AVZ9" s="34"/>
      <c r="AWA9" s="34"/>
      <c r="AWB9" s="34"/>
      <c r="AWC9" s="34"/>
      <c r="AWD9" s="34"/>
      <c r="AWE9" s="34"/>
      <c r="AWF9" s="34"/>
      <c r="AWG9" s="34"/>
      <c r="AWH9" s="34"/>
      <c r="AWI9" s="34"/>
      <c r="AWJ9" s="34"/>
      <c r="AWK9" s="34"/>
      <c r="AWL9" s="34"/>
      <c r="AWM9" s="34"/>
      <c r="AWN9" s="34"/>
      <c r="AWO9" s="34"/>
      <c r="AWP9" s="34"/>
      <c r="AWQ9" s="34"/>
      <c r="AWR9" s="34"/>
      <c r="AWS9" s="34"/>
      <c r="AWT9" s="34"/>
      <c r="AWU9" s="34"/>
      <c r="AWV9" s="34"/>
      <c r="AWW9" s="34"/>
      <c r="AWX9" s="34"/>
      <c r="AWY9" s="34"/>
      <c r="AWZ9" s="34"/>
      <c r="AXA9" s="34"/>
      <c r="AXB9" s="34"/>
      <c r="AXC9" s="34"/>
      <c r="AXD9" s="34"/>
      <c r="AXE9" s="34"/>
      <c r="AXF9" s="34"/>
      <c r="AXG9" s="34"/>
      <c r="AXH9" s="34"/>
      <c r="AXI9" s="34"/>
      <c r="AXJ9" s="34"/>
      <c r="AXK9" s="34"/>
      <c r="AXL9" s="34"/>
      <c r="AXM9" s="34"/>
      <c r="AXN9" s="34"/>
      <c r="AXO9" s="34"/>
      <c r="AXP9" s="34"/>
      <c r="AXQ9" s="34"/>
      <c r="AXR9" s="34"/>
      <c r="AXS9" s="34"/>
      <c r="AXT9" s="34"/>
      <c r="AXU9" s="34"/>
      <c r="AXV9" s="34"/>
      <c r="AXW9" s="34"/>
      <c r="AXX9" s="34"/>
      <c r="AXY9" s="34"/>
      <c r="AXZ9" s="34"/>
      <c r="AYA9" s="34"/>
      <c r="AYB9" s="34"/>
      <c r="AYC9" s="34"/>
      <c r="AYD9" s="34"/>
      <c r="AYE9" s="34"/>
      <c r="AYF9" s="34"/>
      <c r="AYG9" s="34"/>
      <c r="AYH9" s="34"/>
      <c r="AYI9" s="34"/>
      <c r="AYJ9" s="34"/>
      <c r="AYK9" s="34"/>
      <c r="AYL9" s="34"/>
      <c r="AYM9" s="34"/>
      <c r="AYN9" s="34"/>
      <c r="AYO9" s="34"/>
      <c r="AYP9" s="34"/>
      <c r="AYQ9" s="34"/>
      <c r="AYR9" s="34"/>
      <c r="AYS9" s="34"/>
      <c r="AYT9" s="34"/>
      <c r="AYU9" s="34"/>
      <c r="AYV9" s="34"/>
      <c r="AYW9" s="34"/>
      <c r="AYX9" s="34"/>
      <c r="AYY9" s="34"/>
      <c r="AYZ9" s="34"/>
      <c r="AZA9" s="34"/>
      <c r="AZB9" s="34"/>
      <c r="AZC9" s="34"/>
      <c r="AZD9" s="34"/>
      <c r="AZE9" s="34"/>
      <c r="AZF9" s="34"/>
      <c r="AZG9" s="34"/>
      <c r="AZH9" s="34"/>
      <c r="AZI9" s="34"/>
      <c r="AZJ9" s="34"/>
      <c r="AZK9" s="34"/>
      <c r="AZL9" s="34"/>
      <c r="AZM9" s="34"/>
      <c r="AZN9" s="34"/>
      <c r="AZO9" s="34"/>
      <c r="AZP9" s="34"/>
      <c r="AZQ9" s="34"/>
      <c r="AZR9" s="34"/>
      <c r="AZS9" s="34"/>
      <c r="AZT9" s="34"/>
      <c r="AZU9" s="34"/>
      <c r="AZV9" s="34"/>
      <c r="AZW9" s="34"/>
      <c r="AZX9" s="34"/>
      <c r="AZY9" s="34"/>
      <c r="AZZ9" s="34"/>
      <c r="BAA9" s="34"/>
      <c r="BAB9" s="34"/>
      <c r="BAC9" s="34"/>
      <c r="BAD9" s="34"/>
      <c r="BAE9" s="34"/>
      <c r="BAF9" s="34"/>
      <c r="BAG9" s="34"/>
      <c r="BAH9" s="34"/>
      <c r="BAI9" s="34"/>
      <c r="BAJ9" s="34"/>
      <c r="BAK9" s="34"/>
      <c r="BAL9" s="34"/>
      <c r="BAM9" s="34"/>
      <c r="BAN9" s="34"/>
      <c r="BAO9" s="34"/>
      <c r="BAP9" s="34"/>
      <c r="BAQ9" s="34"/>
      <c r="BAR9" s="34"/>
      <c r="BAS9" s="34"/>
      <c r="BAT9" s="34"/>
      <c r="BAU9" s="34"/>
      <c r="BAV9" s="34"/>
      <c r="BAW9" s="34"/>
      <c r="BAX9" s="34"/>
      <c r="BAY9" s="34"/>
      <c r="BAZ9" s="34"/>
      <c r="BBA9" s="34"/>
      <c r="BBB9" s="34"/>
      <c r="BBC9" s="34"/>
      <c r="BBD9" s="34"/>
      <c r="BBE9" s="34"/>
      <c r="BBF9" s="34"/>
      <c r="BBG9" s="34"/>
      <c r="BBH9" s="34"/>
      <c r="BBI9" s="34"/>
      <c r="BBJ9" s="34"/>
      <c r="BBK9" s="34"/>
      <c r="BBL9" s="34"/>
      <c r="BBM9" s="34"/>
      <c r="BBN9" s="34"/>
      <c r="BBO9" s="34"/>
      <c r="BBP9" s="34"/>
      <c r="BBQ9" s="34"/>
      <c r="BBR9" s="34"/>
      <c r="BBS9" s="34"/>
      <c r="BBT9" s="34"/>
      <c r="BBU9" s="34"/>
      <c r="BBV9" s="34"/>
      <c r="BBW9" s="34"/>
      <c r="BBX9" s="34"/>
      <c r="BBY9" s="34"/>
      <c r="BBZ9" s="34"/>
      <c r="BCA9" s="34"/>
      <c r="BCB9" s="34"/>
      <c r="BCC9" s="34"/>
      <c r="BCD9" s="34"/>
      <c r="BCE9" s="34"/>
      <c r="BCF9" s="34"/>
      <c r="BCG9" s="34"/>
      <c r="BCH9" s="34"/>
      <c r="BCI9" s="34"/>
      <c r="BCJ9" s="34"/>
      <c r="BCK9" s="34"/>
      <c r="BCL9" s="34"/>
      <c r="BCM9" s="34"/>
      <c r="BCN9" s="34"/>
      <c r="BCO9" s="34"/>
      <c r="BCP9" s="34"/>
      <c r="BCQ9" s="34"/>
      <c r="BCR9" s="34"/>
      <c r="BCS9" s="34"/>
      <c r="BCT9" s="34"/>
      <c r="BCU9" s="34"/>
      <c r="BCV9" s="34"/>
      <c r="BCW9" s="34"/>
      <c r="BCX9" s="34"/>
      <c r="BCY9" s="34"/>
      <c r="BCZ9" s="34"/>
      <c r="BDA9" s="34"/>
      <c r="BDB9" s="34"/>
      <c r="BDC9" s="34"/>
      <c r="BDD9" s="34"/>
      <c r="BDE9" s="34"/>
      <c r="BDF9" s="34"/>
      <c r="BDG9" s="34"/>
      <c r="BDH9" s="34"/>
      <c r="BDI9" s="34"/>
      <c r="BDJ9" s="34"/>
      <c r="BDK9" s="34"/>
      <c r="BDL9" s="34"/>
      <c r="BDM9" s="34"/>
      <c r="BDN9" s="34"/>
      <c r="BDO9" s="34"/>
      <c r="BDP9" s="34"/>
      <c r="BDQ9" s="34"/>
      <c r="BDR9" s="34"/>
      <c r="BDS9" s="34"/>
      <c r="BDT9" s="34"/>
      <c r="BDU9" s="34"/>
      <c r="BDV9" s="34"/>
      <c r="BDW9" s="34"/>
      <c r="BDX9" s="34"/>
      <c r="BDY9" s="34"/>
      <c r="BDZ9" s="34"/>
      <c r="BEA9" s="34"/>
      <c r="BEB9" s="34"/>
      <c r="BEC9" s="34"/>
      <c r="BED9" s="34"/>
      <c r="BEE9" s="34"/>
      <c r="BEF9" s="34"/>
      <c r="BEG9" s="34"/>
      <c r="BEH9" s="34"/>
      <c r="BEI9" s="34"/>
      <c r="BEJ9" s="34"/>
      <c r="BEK9" s="34"/>
      <c r="BEL9" s="34"/>
      <c r="BEM9" s="34"/>
      <c r="BEN9" s="34"/>
      <c r="BEO9" s="34"/>
      <c r="BEP9" s="34"/>
      <c r="BEQ9" s="34"/>
      <c r="BER9" s="34"/>
      <c r="BES9" s="34"/>
      <c r="BET9" s="34"/>
      <c r="BEU9" s="34"/>
      <c r="BEV9" s="34"/>
      <c r="BEW9" s="34"/>
      <c r="BEX9" s="34"/>
      <c r="BEY9" s="34"/>
      <c r="BEZ9" s="34"/>
      <c r="BFA9" s="34"/>
      <c r="BFB9" s="34"/>
      <c r="BFC9" s="34"/>
      <c r="BFD9" s="34"/>
      <c r="BFE9" s="34"/>
      <c r="BFF9" s="34"/>
      <c r="BFG9" s="34"/>
      <c r="BFH9" s="34"/>
      <c r="BFI9" s="34"/>
      <c r="BFJ9" s="34"/>
      <c r="BFK9" s="34"/>
      <c r="BFL9" s="34"/>
      <c r="BFM9" s="34"/>
      <c r="BFN9" s="34"/>
      <c r="BFO9" s="34"/>
      <c r="BFP9" s="34"/>
      <c r="BFQ9" s="34"/>
      <c r="BFR9" s="34"/>
      <c r="BFS9" s="34"/>
      <c r="BFT9" s="34"/>
      <c r="BFU9" s="34"/>
      <c r="BFV9" s="34"/>
      <c r="BFW9" s="34"/>
      <c r="BFX9" s="34"/>
      <c r="BFY9" s="34"/>
      <c r="BFZ9" s="34"/>
      <c r="BGA9" s="34"/>
      <c r="BGB9" s="34"/>
      <c r="BGC9" s="34"/>
      <c r="BGD9" s="34"/>
      <c r="BGE9" s="34"/>
      <c r="BGF9" s="34"/>
      <c r="BGG9" s="34"/>
      <c r="BGH9" s="34"/>
      <c r="BGI9" s="34"/>
      <c r="BGJ9" s="34"/>
      <c r="BGK9" s="34"/>
      <c r="BGL9" s="34"/>
      <c r="BGM9" s="34"/>
      <c r="BGN9" s="34"/>
      <c r="BGO9" s="34"/>
      <c r="BGP9" s="34"/>
      <c r="BGQ9" s="34"/>
      <c r="BGR9" s="34"/>
      <c r="BGS9" s="34"/>
      <c r="BGT9" s="34"/>
      <c r="BGU9" s="34"/>
      <c r="BGV9" s="34"/>
      <c r="BGW9" s="34"/>
      <c r="BGX9" s="34"/>
      <c r="BGY9" s="34"/>
      <c r="BGZ9" s="34"/>
      <c r="BHA9" s="34"/>
      <c r="BHB9" s="34"/>
      <c r="BHC9" s="34"/>
      <c r="BHD9" s="34"/>
      <c r="BHE9" s="34"/>
      <c r="BHF9" s="34"/>
      <c r="BHG9" s="34"/>
      <c r="BHH9" s="34"/>
      <c r="BHI9" s="34"/>
      <c r="BHJ9" s="34"/>
      <c r="BHK9" s="34"/>
      <c r="BHL9" s="34"/>
      <c r="BHM9" s="34"/>
      <c r="BHN9" s="34"/>
      <c r="BHO9" s="34"/>
      <c r="BHP9" s="34"/>
      <c r="BHQ9" s="34"/>
      <c r="BHR9" s="34"/>
      <c r="BHS9" s="34"/>
      <c r="BHT9" s="34"/>
      <c r="BHU9" s="34"/>
      <c r="BHV9" s="34"/>
      <c r="BHW9" s="34"/>
      <c r="BHX9" s="34"/>
      <c r="BHY9" s="34"/>
      <c r="BHZ9" s="34"/>
      <c r="BIA9" s="34"/>
      <c r="BIB9" s="34"/>
      <c r="BIC9" s="34"/>
      <c r="BID9" s="34"/>
      <c r="BIE9" s="34"/>
      <c r="BIF9" s="34"/>
      <c r="BIG9" s="34"/>
      <c r="BIH9" s="34"/>
      <c r="BII9" s="34"/>
      <c r="BIJ9" s="34"/>
      <c r="BIK9" s="34"/>
      <c r="BIL9" s="34"/>
      <c r="BIM9" s="34"/>
      <c r="BIN9" s="34"/>
      <c r="BIO9" s="34"/>
      <c r="BIP9" s="34"/>
      <c r="BIQ9" s="34"/>
      <c r="BIR9" s="34"/>
      <c r="BIS9" s="34"/>
      <c r="BIT9" s="34"/>
      <c r="BIU9" s="34"/>
      <c r="BIV9" s="34"/>
      <c r="BIW9" s="34"/>
      <c r="BIX9" s="34"/>
      <c r="BIY9" s="34"/>
      <c r="BIZ9" s="34"/>
      <c r="BJA9" s="34"/>
      <c r="BJB9" s="34"/>
      <c r="BJC9" s="34"/>
      <c r="BJD9" s="34"/>
      <c r="BJE9" s="34"/>
      <c r="BJF9" s="34"/>
      <c r="BJG9" s="34"/>
      <c r="BJH9" s="34"/>
      <c r="BJI9" s="34"/>
      <c r="BJJ9" s="34"/>
      <c r="BJK9" s="34"/>
      <c r="BJL9" s="34"/>
      <c r="BJM9" s="34"/>
      <c r="BJN9" s="34"/>
      <c r="BJO9" s="34"/>
      <c r="BJP9" s="34"/>
      <c r="BJQ9" s="34"/>
      <c r="BJR9" s="34"/>
      <c r="BJS9" s="34"/>
      <c r="BJT9" s="34"/>
      <c r="BJU9" s="34"/>
      <c r="BJV9" s="34"/>
      <c r="BJW9" s="34"/>
      <c r="BJX9" s="34"/>
      <c r="BJY9" s="34"/>
      <c r="BJZ9" s="34"/>
      <c r="BKA9" s="34"/>
      <c r="BKB9" s="34"/>
      <c r="BKC9" s="34"/>
      <c r="BKD9" s="34"/>
      <c r="BKE9" s="34"/>
      <c r="BKF9" s="34"/>
      <c r="BKG9" s="34"/>
      <c r="BKH9" s="34"/>
      <c r="BKI9" s="34"/>
      <c r="BKJ9" s="34"/>
      <c r="BKK9" s="34"/>
      <c r="BKL9" s="34"/>
      <c r="BKM9" s="34"/>
      <c r="BKN9" s="34"/>
      <c r="BKO9" s="34"/>
      <c r="BKP9" s="34"/>
      <c r="BKQ9" s="34"/>
      <c r="BKR9" s="34"/>
      <c r="BKS9" s="34"/>
      <c r="BKT9" s="34"/>
      <c r="BKU9" s="34"/>
      <c r="BKV9" s="34"/>
      <c r="BKW9" s="34"/>
      <c r="BKX9" s="34"/>
      <c r="BKY9" s="34"/>
      <c r="BKZ9" s="34"/>
      <c r="BLA9" s="34"/>
      <c r="BLB9" s="34"/>
      <c r="BLC9" s="34"/>
      <c r="BLD9" s="34"/>
      <c r="BLE9" s="34"/>
      <c r="BLF9" s="34"/>
      <c r="BLG9" s="34"/>
      <c r="BLH9" s="34"/>
      <c r="BLI9" s="34"/>
      <c r="BLJ9" s="34"/>
      <c r="BLK9" s="34"/>
      <c r="BLL9" s="34"/>
      <c r="BLM9" s="34"/>
      <c r="BLN9" s="34"/>
      <c r="BLO9" s="34"/>
      <c r="BLP9" s="34"/>
      <c r="BLQ9" s="34"/>
      <c r="BLR9" s="34"/>
      <c r="BLS9" s="34"/>
      <c r="BLT9" s="34"/>
      <c r="BLU9" s="34"/>
      <c r="BLV9" s="34"/>
      <c r="BLW9" s="34"/>
      <c r="BLX9" s="34"/>
      <c r="BLY9" s="34"/>
      <c r="BLZ9" s="34"/>
      <c r="BMA9" s="34"/>
      <c r="BMB9" s="34"/>
      <c r="BMC9" s="34"/>
      <c r="BMD9" s="34"/>
      <c r="BME9" s="34"/>
      <c r="BMF9" s="34"/>
      <c r="BMG9" s="34"/>
      <c r="BMH9" s="34"/>
      <c r="BMI9" s="34"/>
      <c r="BMJ9" s="34"/>
      <c r="BMK9" s="34"/>
      <c r="BML9" s="34"/>
      <c r="BMM9" s="34"/>
      <c r="BMN9" s="34"/>
      <c r="BMO9" s="34"/>
      <c r="BMP9" s="34"/>
      <c r="BMQ9" s="34"/>
      <c r="BMR9" s="34"/>
      <c r="BMS9" s="34"/>
      <c r="BMT9" s="34"/>
      <c r="BMU9" s="34"/>
      <c r="BMV9" s="34"/>
      <c r="BMW9" s="34"/>
      <c r="BMX9" s="34"/>
      <c r="BMY9" s="34"/>
      <c r="BMZ9" s="34"/>
      <c r="BNA9" s="34"/>
      <c r="BNB9" s="34"/>
      <c r="BNC9" s="34"/>
      <c r="BND9" s="34"/>
      <c r="BNE9" s="34"/>
      <c r="BNF9" s="34"/>
      <c r="BNG9" s="34"/>
      <c r="BNH9" s="34"/>
      <c r="BNI9" s="34"/>
      <c r="BNJ9" s="34"/>
      <c r="BNK9" s="34"/>
      <c r="BNL9" s="34"/>
      <c r="BNM9" s="34"/>
      <c r="BNN9" s="34"/>
      <c r="BNO9" s="34"/>
      <c r="BNP9" s="34"/>
      <c r="BNQ9" s="34"/>
      <c r="BNR9" s="34"/>
      <c r="BNS9" s="34"/>
      <c r="BNT9" s="34"/>
      <c r="BNU9" s="34"/>
      <c r="BNV9" s="34"/>
      <c r="BNW9" s="34"/>
      <c r="BNX9" s="34"/>
      <c r="BNY9" s="34"/>
      <c r="BNZ9" s="34"/>
      <c r="BOA9" s="34"/>
      <c r="BOB9" s="34"/>
      <c r="BOC9" s="34"/>
      <c r="BOD9" s="34"/>
      <c r="BOE9" s="34"/>
      <c r="BOF9" s="34"/>
      <c r="BOG9" s="34"/>
      <c r="BOH9" s="34"/>
      <c r="BOI9" s="34"/>
      <c r="BOJ9" s="34"/>
      <c r="BOK9" s="34"/>
      <c r="BOL9" s="34"/>
      <c r="BOM9" s="34"/>
      <c r="BON9" s="34"/>
      <c r="BOO9" s="34"/>
      <c r="BOP9" s="34"/>
      <c r="BOQ9" s="34"/>
      <c r="BOR9" s="34"/>
      <c r="BOS9" s="34"/>
      <c r="BOT9" s="34"/>
      <c r="BOU9" s="34"/>
      <c r="BOV9" s="34"/>
      <c r="BOW9" s="34"/>
      <c r="BOX9" s="34"/>
      <c r="BOY9" s="34"/>
      <c r="BOZ9" s="34"/>
      <c r="BPA9" s="34"/>
      <c r="BPB9" s="34"/>
      <c r="BPC9" s="34"/>
      <c r="BPD9" s="34"/>
      <c r="BPE9" s="34"/>
      <c r="BPF9" s="34"/>
      <c r="BPG9" s="34"/>
      <c r="BPH9" s="34"/>
      <c r="BPI9" s="34"/>
      <c r="BPJ9" s="34"/>
      <c r="BPK9" s="34"/>
      <c r="BPL9" s="34"/>
      <c r="BPM9" s="34"/>
      <c r="BPN9" s="34"/>
      <c r="BPO9" s="34"/>
      <c r="BPP9" s="34"/>
      <c r="BPQ9" s="34"/>
      <c r="BPR9" s="34"/>
      <c r="BPS9" s="34"/>
      <c r="BPT9" s="34"/>
      <c r="BPU9" s="34"/>
      <c r="BPV9" s="34"/>
      <c r="BPW9" s="34"/>
      <c r="BPX9" s="34"/>
      <c r="BPY9" s="34"/>
      <c r="BPZ9" s="34"/>
      <c r="BQA9" s="34"/>
      <c r="BQB9" s="34"/>
      <c r="BQC9" s="34"/>
      <c r="BQD9" s="34"/>
      <c r="BQE9" s="34"/>
      <c r="BQF9" s="34"/>
      <c r="BQG9" s="34"/>
      <c r="BQH9" s="34"/>
      <c r="BQI9" s="34"/>
      <c r="BQJ9" s="34"/>
      <c r="BQK9" s="34"/>
      <c r="BQL9" s="34"/>
      <c r="BQM9" s="34"/>
      <c r="BQN9" s="34"/>
      <c r="BQO9" s="34"/>
      <c r="BQP9" s="34"/>
      <c r="BQQ9" s="34"/>
      <c r="BQR9" s="34"/>
      <c r="BQS9" s="34"/>
      <c r="BQT9" s="34"/>
      <c r="BQU9" s="34"/>
      <c r="BQV9" s="34"/>
      <c r="BQW9" s="34"/>
      <c r="BQX9" s="34"/>
      <c r="BQY9" s="34"/>
      <c r="BQZ9" s="34"/>
      <c r="BRA9" s="34"/>
      <c r="BRB9" s="34"/>
      <c r="BRC9" s="34"/>
      <c r="BRD9" s="34"/>
      <c r="BRE9" s="34"/>
      <c r="BRF9" s="34"/>
      <c r="BRG9" s="34"/>
      <c r="BRH9" s="34"/>
      <c r="BRI9" s="34"/>
      <c r="BRJ9" s="34"/>
      <c r="BRK9" s="34"/>
      <c r="BRL9" s="34"/>
      <c r="BRM9" s="34"/>
      <c r="BRN9" s="34"/>
      <c r="BRO9" s="34"/>
      <c r="BRP9" s="34"/>
      <c r="BRQ9" s="34"/>
      <c r="BRR9" s="34"/>
      <c r="BRS9" s="34"/>
      <c r="BRT9" s="34"/>
      <c r="BRU9" s="34"/>
      <c r="BRV9" s="34"/>
      <c r="BRW9" s="34"/>
      <c r="BRX9" s="34"/>
      <c r="BRY9" s="34"/>
      <c r="BRZ9" s="34"/>
      <c r="BSA9" s="34"/>
      <c r="BSB9" s="34"/>
      <c r="BSC9" s="34"/>
      <c r="BSD9" s="34"/>
      <c r="BSE9" s="34"/>
      <c r="BSF9" s="34"/>
      <c r="BSG9" s="34"/>
      <c r="BSH9" s="34"/>
      <c r="BSI9" s="34"/>
      <c r="BSJ9" s="34"/>
      <c r="BSK9" s="34"/>
      <c r="BSL9" s="34"/>
      <c r="BSM9" s="34"/>
      <c r="BSN9" s="34"/>
      <c r="BSO9" s="34"/>
      <c r="BSP9" s="34"/>
      <c r="BSQ9" s="34"/>
      <c r="BSR9" s="34"/>
      <c r="BSS9" s="34"/>
      <c r="BST9" s="34"/>
      <c r="BSU9" s="34"/>
      <c r="BSV9" s="34"/>
      <c r="BSW9" s="34"/>
      <c r="BSX9" s="34"/>
      <c r="BSY9" s="34"/>
      <c r="BSZ9" s="34"/>
      <c r="BTA9" s="34"/>
      <c r="BTB9" s="34"/>
      <c r="BTC9" s="34"/>
      <c r="BTD9" s="34"/>
      <c r="BTE9" s="34"/>
      <c r="BTF9" s="34"/>
      <c r="BTG9" s="34"/>
      <c r="BTH9" s="34"/>
      <c r="BTI9" s="34"/>
      <c r="BTJ9" s="34"/>
      <c r="BTK9" s="34"/>
      <c r="BTL9" s="34"/>
      <c r="BTM9" s="34"/>
      <c r="BTN9" s="34"/>
      <c r="BTO9" s="34"/>
      <c r="BTP9" s="34"/>
      <c r="BTQ9" s="34"/>
      <c r="BTR9" s="34"/>
      <c r="BTS9" s="34"/>
      <c r="BTT9" s="34"/>
      <c r="BTU9" s="34"/>
      <c r="BTV9" s="34"/>
      <c r="BTW9" s="34"/>
      <c r="BTX9" s="34"/>
      <c r="BTY9" s="34"/>
      <c r="BTZ9" s="34"/>
      <c r="BUA9" s="34"/>
      <c r="BUB9" s="34"/>
      <c r="BUC9" s="34"/>
      <c r="BUD9" s="34"/>
      <c r="BUE9" s="34"/>
      <c r="BUF9" s="34"/>
      <c r="BUG9" s="34"/>
      <c r="BUH9" s="34"/>
      <c r="BUI9" s="34"/>
      <c r="BUJ9" s="34"/>
      <c r="BUK9" s="34"/>
      <c r="BUL9" s="34"/>
      <c r="BUM9" s="34"/>
      <c r="BUN9" s="34"/>
      <c r="BUO9" s="34"/>
      <c r="BUP9" s="34"/>
      <c r="BUQ9" s="34"/>
      <c r="BUR9" s="34"/>
      <c r="BUS9" s="34"/>
      <c r="BUT9" s="34"/>
      <c r="BUU9" s="34"/>
      <c r="BUV9" s="34"/>
      <c r="BUW9" s="34"/>
      <c r="BUX9" s="34"/>
      <c r="BUY9" s="34"/>
      <c r="BUZ9" s="34"/>
      <c r="BVA9" s="34"/>
      <c r="BVB9" s="34"/>
      <c r="BVC9" s="34"/>
      <c r="BVD9" s="34"/>
      <c r="BVE9" s="34"/>
      <c r="BVF9" s="34"/>
      <c r="BVG9" s="34"/>
      <c r="BVH9" s="34"/>
      <c r="BVI9" s="34"/>
      <c r="BVJ9" s="34"/>
      <c r="BVK9" s="34"/>
      <c r="BVL9" s="34"/>
      <c r="BVM9" s="34"/>
      <c r="BVN9" s="34"/>
      <c r="BVO9" s="34"/>
      <c r="BVP9" s="34"/>
      <c r="BVQ9" s="34"/>
      <c r="BVR9" s="34"/>
      <c r="BVS9" s="34"/>
      <c r="BVT9" s="34"/>
      <c r="BVU9" s="34"/>
      <c r="BVV9" s="34"/>
      <c r="BVW9" s="34"/>
      <c r="BVX9" s="34"/>
      <c r="BVY9" s="34"/>
      <c r="BVZ9" s="34"/>
      <c r="BWA9" s="34"/>
      <c r="BWB9" s="34"/>
      <c r="BWC9" s="34"/>
      <c r="BWD9" s="34"/>
      <c r="BWE9" s="34"/>
      <c r="BWF9" s="34"/>
      <c r="BWG9" s="34"/>
      <c r="BWH9" s="34"/>
      <c r="BWI9" s="34"/>
      <c r="BWJ9" s="34"/>
      <c r="BWK9" s="34"/>
      <c r="BWL9" s="34"/>
      <c r="BWM9" s="34"/>
      <c r="BWN9" s="34"/>
      <c r="BWO9" s="34"/>
      <c r="BWP9" s="34"/>
      <c r="BWQ9" s="34"/>
      <c r="BWR9" s="34"/>
      <c r="BWS9" s="34"/>
      <c r="BWT9" s="34"/>
      <c r="BWU9" s="34"/>
      <c r="BWV9" s="34"/>
      <c r="BWW9" s="34"/>
      <c r="BWX9" s="34"/>
      <c r="BWY9" s="34"/>
      <c r="BWZ9" s="34"/>
      <c r="BXA9" s="34"/>
      <c r="BXB9" s="34"/>
      <c r="BXC9" s="34"/>
      <c r="BXD9" s="34"/>
      <c r="BXE9" s="34"/>
      <c r="BXF9" s="34"/>
      <c r="BXG9" s="34"/>
      <c r="BXH9" s="34"/>
      <c r="BXI9" s="34"/>
      <c r="BXJ9" s="34"/>
      <c r="BXK9" s="34"/>
      <c r="BXL9" s="34"/>
      <c r="BXM9" s="34"/>
      <c r="BXN9" s="34"/>
      <c r="BXO9" s="34"/>
      <c r="BXP9" s="34"/>
      <c r="BXQ9" s="34"/>
      <c r="BXR9" s="34"/>
      <c r="BXS9" s="34"/>
      <c r="BXT9" s="34"/>
      <c r="BXU9" s="34"/>
      <c r="BXV9" s="34"/>
      <c r="BXW9" s="34"/>
      <c r="BXX9" s="34"/>
      <c r="BXY9" s="34"/>
      <c r="BXZ9" s="34"/>
      <c r="BYA9" s="34"/>
      <c r="BYB9" s="34"/>
      <c r="BYC9" s="34"/>
      <c r="BYD9" s="34"/>
      <c r="BYE9" s="34"/>
      <c r="BYF9" s="34"/>
      <c r="BYG9" s="34"/>
      <c r="BYH9" s="34"/>
      <c r="BYI9" s="34"/>
      <c r="BYJ9" s="34"/>
      <c r="BYK9" s="34"/>
      <c r="BYL9" s="34"/>
      <c r="BYM9" s="34"/>
      <c r="BYN9" s="34"/>
      <c r="BYO9" s="34"/>
      <c r="BYP9" s="34"/>
      <c r="BYQ9" s="34"/>
      <c r="BYR9" s="34"/>
      <c r="BYS9" s="34"/>
      <c r="BYT9" s="34"/>
      <c r="BYU9" s="34"/>
      <c r="BYV9" s="34"/>
      <c r="BYW9" s="34"/>
      <c r="BYX9" s="34"/>
      <c r="BYY9" s="34"/>
      <c r="BYZ9" s="34"/>
      <c r="BZA9" s="34"/>
      <c r="BZB9" s="34"/>
      <c r="BZC9" s="34"/>
      <c r="BZD9" s="34"/>
      <c r="BZE9" s="34"/>
      <c r="BZF9" s="34"/>
      <c r="BZG9" s="34"/>
      <c r="BZH9" s="34"/>
      <c r="BZI9" s="34"/>
      <c r="BZJ9" s="34"/>
      <c r="BZK9" s="34"/>
      <c r="BZL9" s="34"/>
      <c r="BZM9" s="34"/>
      <c r="BZN9" s="34"/>
      <c r="BZO9" s="34"/>
      <c r="BZP9" s="34"/>
      <c r="BZQ9" s="34"/>
      <c r="BZR9" s="34"/>
      <c r="BZS9" s="34"/>
      <c r="BZT9" s="34"/>
      <c r="BZU9" s="34"/>
      <c r="BZV9" s="34"/>
      <c r="BZW9" s="34"/>
      <c r="BZX9" s="34"/>
      <c r="BZY9" s="34"/>
      <c r="BZZ9" s="34"/>
      <c r="CAA9" s="34"/>
      <c r="CAB9" s="34"/>
      <c r="CAC9" s="34"/>
      <c r="CAD9" s="34"/>
      <c r="CAE9" s="34"/>
      <c r="CAF9" s="34"/>
      <c r="CAG9" s="34"/>
      <c r="CAH9" s="34"/>
      <c r="CAI9" s="34"/>
      <c r="CAJ9" s="34"/>
      <c r="CAK9" s="34"/>
      <c r="CAL9" s="34"/>
      <c r="CAM9" s="34"/>
      <c r="CAN9" s="34"/>
      <c r="CAO9" s="34"/>
      <c r="CAP9" s="34"/>
      <c r="CAQ9" s="34"/>
      <c r="CAR9" s="34"/>
      <c r="CAS9" s="34"/>
      <c r="CAT9" s="34"/>
      <c r="CAU9" s="34"/>
      <c r="CAV9" s="34"/>
      <c r="CAW9" s="34"/>
      <c r="CAX9" s="34"/>
      <c r="CAY9" s="34"/>
      <c r="CAZ9" s="34"/>
      <c r="CBA9" s="34"/>
      <c r="CBB9" s="34"/>
      <c r="CBC9" s="34"/>
      <c r="CBD9" s="34"/>
      <c r="CBE9" s="34"/>
      <c r="CBF9" s="34"/>
      <c r="CBG9" s="34"/>
      <c r="CBH9" s="34"/>
      <c r="CBI9" s="34"/>
      <c r="CBJ9" s="34"/>
      <c r="CBK9" s="34"/>
      <c r="CBL9" s="34"/>
      <c r="CBM9" s="34"/>
      <c r="CBN9" s="34"/>
      <c r="CBO9" s="34"/>
      <c r="CBP9" s="34"/>
      <c r="CBQ9" s="34"/>
      <c r="CBR9" s="34"/>
      <c r="CBS9" s="34"/>
      <c r="CBT9" s="34"/>
      <c r="CBU9" s="34"/>
      <c r="CBV9" s="34"/>
      <c r="CBW9" s="34"/>
      <c r="CBX9" s="34"/>
      <c r="CBY9" s="34"/>
      <c r="CBZ9" s="34"/>
      <c r="CCA9" s="34"/>
      <c r="CCB9" s="34"/>
      <c r="CCC9" s="34"/>
      <c r="CCD9" s="34"/>
      <c r="CCE9" s="34"/>
      <c r="CCF9" s="34"/>
      <c r="CCG9" s="34"/>
      <c r="CCH9" s="34"/>
      <c r="CCI9" s="34"/>
      <c r="CCJ9" s="34"/>
      <c r="CCK9" s="34"/>
      <c r="CCL9" s="34"/>
      <c r="CCM9" s="34"/>
      <c r="CCN9" s="34"/>
      <c r="CCO9" s="34"/>
      <c r="CCP9" s="34"/>
      <c r="CCQ9" s="34"/>
      <c r="CCR9" s="34"/>
      <c r="CCS9" s="34"/>
      <c r="CCT9" s="34"/>
      <c r="CCU9" s="34"/>
      <c r="CCV9" s="34"/>
      <c r="CCW9" s="34"/>
      <c r="CCX9" s="34"/>
      <c r="CCY9" s="34"/>
      <c r="CCZ9" s="34"/>
      <c r="CDA9" s="34"/>
      <c r="CDB9" s="34"/>
      <c r="CDC9" s="34"/>
      <c r="CDD9" s="34"/>
      <c r="CDE9" s="34"/>
      <c r="CDF9" s="34"/>
      <c r="CDG9" s="34"/>
      <c r="CDH9" s="34"/>
      <c r="CDI9" s="34"/>
      <c r="CDJ9" s="34"/>
      <c r="CDK9" s="34"/>
      <c r="CDL9" s="34"/>
      <c r="CDM9" s="34"/>
      <c r="CDN9" s="34"/>
      <c r="CDO9" s="34"/>
      <c r="CDP9" s="34"/>
      <c r="CDQ9" s="34"/>
      <c r="CDR9" s="34"/>
      <c r="CDS9" s="34"/>
      <c r="CDT9" s="34"/>
      <c r="CDU9" s="34"/>
      <c r="CDV9" s="34"/>
      <c r="CDW9" s="34"/>
      <c r="CDX9" s="34"/>
      <c r="CDY9" s="34"/>
      <c r="CDZ9" s="34"/>
      <c r="CEA9" s="34"/>
      <c r="CEB9" s="34"/>
      <c r="CEC9" s="34"/>
      <c r="CED9" s="34"/>
      <c r="CEE9" s="34"/>
      <c r="CEF9" s="34"/>
      <c r="CEG9" s="34"/>
      <c r="CEH9" s="34"/>
      <c r="CEI9" s="34"/>
      <c r="CEJ9" s="34"/>
      <c r="CEK9" s="34"/>
      <c r="CEL9" s="34"/>
      <c r="CEM9" s="34"/>
      <c r="CEN9" s="34"/>
      <c r="CEO9" s="34"/>
      <c r="CEP9" s="34"/>
      <c r="CEQ9" s="34"/>
      <c r="CER9" s="34"/>
      <c r="CES9" s="34"/>
      <c r="CET9" s="34"/>
      <c r="CEU9" s="34"/>
      <c r="CEV9" s="34"/>
      <c r="CEW9" s="34"/>
      <c r="CEX9" s="34"/>
      <c r="CEY9" s="34"/>
      <c r="CEZ9" s="34"/>
      <c r="CFA9" s="34"/>
      <c r="CFB9" s="34"/>
      <c r="CFC9" s="34"/>
      <c r="CFD9" s="34"/>
      <c r="CFE9" s="34"/>
      <c r="CFF9" s="34"/>
      <c r="CFG9" s="34"/>
      <c r="CFH9" s="34"/>
      <c r="CFI9" s="34"/>
      <c r="CFJ9" s="34"/>
      <c r="CFK9" s="34"/>
      <c r="CFL9" s="34"/>
      <c r="CFM9" s="34"/>
      <c r="CFN9" s="34"/>
      <c r="CFO9" s="34"/>
      <c r="CFP9" s="34"/>
      <c r="CFQ9" s="34"/>
      <c r="CFR9" s="34"/>
      <c r="CFS9" s="34"/>
      <c r="CFT9" s="34"/>
      <c r="CFU9" s="34"/>
      <c r="CFV9" s="34"/>
      <c r="CFW9" s="34"/>
      <c r="CFX9" s="34"/>
      <c r="CFY9" s="34"/>
      <c r="CFZ9" s="34"/>
      <c r="CGA9" s="34"/>
      <c r="CGB9" s="34"/>
      <c r="CGC9" s="34"/>
      <c r="CGD9" s="34"/>
      <c r="CGE9" s="34"/>
      <c r="CGF9" s="34"/>
      <c r="CGG9" s="34"/>
      <c r="CGH9" s="34"/>
      <c r="CGI9" s="34"/>
      <c r="CGJ9" s="34"/>
      <c r="CGK9" s="34"/>
      <c r="CGL9" s="34"/>
      <c r="CGM9" s="34"/>
      <c r="CGN9" s="34"/>
      <c r="CGO9" s="34"/>
      <c r="CGP9" s="34"/>
      <c r="CGQ9" s="34"/>
      <c r="CGR9" s="34"/>
      <c r="CGS9" s="34"/>
      <c r="CGT9" s="34"/>
      <c r="CGU9" s="34"/>
      <c r="CGV9" s="34"/>
      <c r="CGW9" s="34"/>
      <c r="CGX9" s="34"/>
      <c r="CGY9" s="34"/>
      <c r="CGZ9" s="34"/>
      <c r="CHA9" s="34"/>
      <c r="CHB9" s="34"/>
      <c r="CHC9" s="34"/>
      <c r="CHD9" s="34"/>
      <c r="CHE9" s="34"/>
      <c r="CHF9" s="34"/>
      <c r="CHG9" s="34"/>
      <c r="CHH9" s="34"/>
      <c r="CHI9" s="34"/>
      <c r="CHJ9" s="34"/>
      <c r="CHK9" s="34"/>
      <c r="CHL9" s="34"/>
      <c r="CHM9" s="34"/>
      <c r="CHN9" s="34"/>
      <c r="CHO9" s="34"/>
      <c r="CHP9" s="34"/>
      <c r="CHQ9" s="34"/>
      <c r="CHR9" s="34"/>
      <c r="CHS9" s="34"/>
      <c r="CHT9" s="34"/>
      <c r="CHU9" s="34"/>
      <c r="CHV9" s="34"/>
      <c r="CHW9" s="34"/>
      <c r="CHX9" s="34"/>
      <c r="CHY9" s="34"/>
      <c r="CHZ9" s="34"/>
      <c r="CIA9" s="34"/>
      <c r="CIB9" s="34"/>
      <c r="CIC9" s="34"/>
      <c r="CID9" s="34"/>
      <c r="CIE9" s="34"/>
      <c r="CIF9" s="34"/>
      <c r="CIG9" s="34"/>
      <c r="CIH9" s="34"/>
      <c r="CII9" s="34"/>
      <c r="CIJ9" s="34"/>
      <c r="CIK9" s="34"/>
      <c r="CIL9" s="34"/>
      <c r="CIM9" s="34"/>
      <c r="CIN9" s="34"/>
      <c r="CIO9" s="34"/>
      <c r="CIP9" s="34"/>
      <c r="CIQ9" s="34"/>
      <c r="CIR9" s="34"/>
      <c r="CIS9" s="34"/>
      <c r="CIT9" s="34"/>
      <c r="CIU9" s="34"/>
      <c r="CIV9" s="34"/>
      <c r="CIW9" s="34"/>
      <c r="CIX9" s="34"/>
      <c r="CIY9" s="34"/>
      <c r="CIZ9" s="34"/>
      <c r="CJA9" s="34"/>
      <c r="CJB9" s="34"/>
      <c r="CJC9" s="34"/>
      <c r="CJD9" s="34"/>
      <c r="CJE9" s="34"/>
      <c r="CJF9" s="34"/>
      <c r="CJG9" s="34"/>
      <c r="CJH9" s="34"/>
      <c r="CJI9" s="34"/>
      <c r="CJJ9" s="34"/>
      <c r="CJK9" s="34"/>
      <c r="CJL9" s="34"/>
      <c r="CJM9" s="34"/>
      <c r="CJN9" s="34"/>
      <c r="CJO9" s="34"/>
      <c r="CJP9" s="34"/>
      <c r="CJQ9" s="34"/>
      <c r="CJR9" s="34"/>
      <c r="CJS9" s="34"/>
      <c r="CJT9" s="34"/>
      <c r="CJU9" s="34"/>
      <c r="CJV9" s="34"/>
      <c r="CJW9" s="34"/>
      <c r="CJX9" s="34"/>
      <c r="CJY9" s="34"/>
      <c r="CJZ9" s="34"/>
      <c r="CKA9" s="34"/>
      <c r="CKB9" s="34"/>
      <c r="CKC9" s="34"/>
      <c r="CKD9" s="34"/>
      <c r="CKE9" s="34"/>
      <c r="CKF9" s="34"/>
      <c r="CKG9" s="34"/>
      <c r="CKH9" s="34"/>
      <c r="CKI9" s="34"/>
      <c r="CKJ9" s="34"/>
      <c r="CKK9" s="34"/>
      <c r="CKL9" s="34"/>
      <c r="CKM9" s="34"/>
      <c r="CKN9" s="34"/>
      <c r="CKO9" s="34"/>
      <c r="CKP9" s="34"/>
      <c r="CKQ9" s="34"/>
      <c r="CKR9" s="34"/>
      <c r="CKS9" s="34"/>
      <c r="CKT9" s="34"/>
      <c r="CKU9" s="34"/>
      <c r="CKV9" s="34"/>
      <c r="CKW9" s="34"/>
      <c r="CKX9" s="34"/>
      <c r="CKY9" s="34"/>
      <c r="CKZ9" s="34"/>
      <c r="CLA9" s="34"/>
      <c r="CLB9" s="34"/>
      <c r="CLC9" s="34"/>
      <c r="CLD9" s="34"/>
      <c r="CLE9" s="34"/>
      <c r="CLF9" s="34"/>
      <c r="CLG9" s="34"/>
      <c r="CLH9" s="34"/>
      <c r="CLI9" s="34"/>
      <c r="CLJ9" s="34"/>
      <c r="CLK9" s="34"/>
      <c r="CLL9" s="34"/>
      <c r="CLM9" s="34"/>
      <c r="CLN9" s="34"/>
      <c r="CLO9" s="34"/>
      <c r="CLP9" s="34"/>
      <c r="CLQ9" s="34"/>
      <c r="CLR9" s="34"/>
      <c r="CLS9" s="34"/>
      <c r="CLT9" s="34"/>
      <c r="CLU9" s="34"/>
      <c r="CLV9" s="34"/>
      <c r="CLW9" s="34"/>
      <c r="CLX9" s="34"/>
      <c r="CLY9" s="34"/>
      <c r="CLZ9" s="34"/>
      <c r="CMA9" s="34"/>
      <c r="CMB9" s="34"/>
      <c r="CMC9" s="34"/>
      <c r="CMD9" s="34"/>
      <c r="CME9" s="34"/>
      <c r="CMF9" s="34"/>
      <c r="CMG9" s="34"/>
      <c r="CMH9" s="34"/>
      <c r="CMI9" s="34"/>
      <c r="CMJ9" s="34"/>
      <c r="CMK9" s="34"/>
      <c r="CML9" s="34"/>
      <c r="CMM9" s="34"/>
      <c r="CMN9" s="34"/>
      <c r="CMO9" s="34"/>
      <c r="CMP9" s="34"/>
      <c r="CMQ9" s="34"/>
      <c r="CMR9" s="34"/>
      <c r="CMS9" s="34"/>
      <c r="CMT9" s="34"/>
      <c r="CMU9" s="34"/>
      <c r="CMV9" s="34"/>
      <c r="CMW9" s="34"/>
      <c r="CMX9" s="34"/>
      <c r="CMY9" s="34"/>
      <c r="CMZ9" s="34"/>
      <c r="CNA9" s="34"/>
      <c r="CNB9" s="34"/>
      <c r="CNC9" s="34"/>
      <c r="CND9" s="34"/>
      <c r="CNE9" s="34"/>
      <c r="CNF9" s="34"/>
      <c r="CNG9" s="34"/>
      <c r="CNH9" s="34"/>
      <c r="CNI9" s="34"/>
      <c r="CNJ9" s="34"/>
      <c r="CNK9" s="34"/>
      <c r="CNL9" s="34"/>
      <c r="CNM9" s="34"/>
      <c r="CNN9" s="34"/>
      <c r="CNO9" s="34"/>
      <c r="CNP9" s="34"/>
      <c r="CNQ9" s="34"/>
      <c r="CNR9" s="34"/>
      <c r="CNS9" s="34"/>
      <c r="CNT9" s="34"/>
      <c r="CNU9" s="34"/>
      <c r="CNV9" s="34"/>
      <c r="CNW9" s="34"/>
      <c r="CNX9" s="34"/>
      <c r="CNY9" s="34"/>
      <c r="CNZ9" s="34"/>
      <c r="COA9" s="34"/>
      <c r="COB9" s="34"/>
      <c r="COC9" s="34"/>
      <c r="COD9" s="34"/>
      <c r="COE9" s="34"/>
      <c r="COF9" s="34"/>
      <c r="COG9" s="34"/>
      <c r="COH9" s="34"/>
      <c r="COI9" s="34"/>
      <c r="COJ9" s="34"/>
      <c r="COK9" s="34"/>
      <c r="COL9" s="34"/>
      <c r="COM9" s="34"/>
      <c r="CON9" s="34"/>
      <c r="COO9" s="34"/>
      <c r="COP9" s="34"/>
      <c r="COQ9" s="34"/>
      <c r="COR9" s="34"/>
      <c r="COS9" s="34"/>
      <c r="COT9" s="34"/>
      <c r="COU9" s="34"/>
      <c r="COV9" s="34"/>
      <c r="COW9" s="34"/>
      <c r="COX9" s="34"/>
      <c r="COY9" s="34"/>
      <c r="COZ9" s="34"/>
      <c r="CPA9" s="34"/>
      <c r="CPB9" s="34"/>
      <c r="CPC9" s="34"/>
      <c r="CPD9" s="34"/>
      <c r="CPE9" s="34"/>
      <c r="CPF9" s="34"/>
      <c r="CPG9" s="34"/>
      <c r="CPH9" s="34"/>
      <c r="CPI9" s="34"/>
      <c r="CPJ9" s="34"/>
      <c r="CPK9" s="34"/>
      <c r="CPL9" s="34"/>
      <c r="CPM9" s="34"/>
      <c r="CPN9" s="34"/>
      <c r="CPO9" s="34"/>
      <c r="CPP9" s="34"/>
      <c r="CPQ9" s="34"/>
      <c r="CPR9" s="34"/>
      <c r="CPS9" s="34"/>
      <c r="CPT9" s="34"/>
      <c r="CPU9" s="34"/>
      <c r="CPV9" s="34"/>
      <c r="CPW9" s="34"/>
      <c r="CPX9" s="34"/>
      <c r="CPY9" s="34"/>
      <c r="CPZ9" s="34"/>
      <c r="CQA9" s="34"/>
      <c r="CQB9" s="34"/>
      <c r="CQC9" s="34"/>
      <c r="CQD9" s="34"/>
      <c r="CQE9" s="34"/>
      <c r="CQF9" s="34"/>
      <c r="CQG9" s="34"/>
      <c r="CQH9" s="34"/>
      <c r="CQI9" s="34"/>
      <c r="CQJ9" s="34"/>
      <c r="CQK9" s="34"/>
      <c r="CQL9" s="34"/>
      <c r="CQM9" s="34"/>
      <c r="CQN9" s="34"/>
      <c r="CQO9" s="34"/>
      <c r="CQP9" s="34"/>
      <c r="CQQ9" s="34"/>
      <c r="CQR9" s="34"/>
      <c r="CQS9" s="34"/>
      <c r="CQT9" s="34"/>
      <c r="CQU9" s="34"/>
      <c r="CQV9" s="34"/>
      <c r="CQW9" s="34"/>
      <c r="CQX9" s="34"/>
      <c r="CQY9" s="34"/>
      <c r="CQZ9" s="34"/>
      <c r="CRA9" s="34"/>
      <c r="CRB9" s="34"/>
      <c r="CRC9" s="34"/>
      <c r="CRD9" s="34"/>
      <c r="CRE9" s="34"/>
      <c r="CRF9" s="34"/>
      <c r="CRG9" s="34"/>
      <c r="CRH9" s="34"/>
      <c r="CRI9" s="34"/>
      <c r="CRJ9" s="34"/>
      <c r="CRK9" s="34"/>
      <c r="CRL9" s="34"/>
      <c r="CRM9" s="34"/>
      <c r="CRN9" s="34"/>
      <c r="CRO9" s="34"/>
      <c r="CRP9" s="34"/>
      <c r="CRQ9" s="34"/>
      <c r="CRR9" s="34"/>
      <c r="CRS9" s="34"/>
      <c r="CRT9" s="34"/>
      <c r="CRU9" s="34"/>
      <c r="CRV9" s="34"/>
      <c r="CRW9" s="34"/>
      <c r="CRX9" s="34"/>
      <c r="CRY9" s="34"/>
      <c r="CRZ9" s="34"/>
      <c r="CSA9" s="34"/>
      <c r="CSB9" s="34"/>
      <c r="CSC9" s="34"/>
      <c r="CSD9" s="34"/>
      <c r="CSE9" s="34"/>
      <c r="CSF9" s="34"/>
      <c r="CSG9" s="34"/>
      <c r="CSH9" s="34"/>
      <c r="CSI9" s="34"/>
      <c r="CSJ9" s="34"/>
      <c r="CSK9" s="34"/>
      <c r="CSL9" s="34"/>
      <c r="CSM9" s="34"/>
      <c r="CSN9" s="34"/>
      <c r="CSO9" s="34"/>
      <c r="CSP9" s="34"/>
      <c r="CSQ9" s="34"/>
      <c r="CSR9" s="34"/>
      <c r="CSS9" s="34"/>
      <c r="CST9" s="34"/>
      <c r="CSU9" s="34"/>
      <c r="CSV9" s="34"/>
      <c r="CSW9" s="34"/>
      <c r="CSX9" s="34"/>
      <c r="CSY9" s="34"/>
      <c r="CSZ9" s="34"/>
      <c r="CTA9" s="34"/>
      <c r="CTB9" s="34"/>
      <c r="CTC9" s="34"/>
      <c r="CTD9" s="34"/>
      <c r="CTE9" s="34"/>
      <c r="CTF9" s="34"/>
      <c r="CTG9" s="34"/>
      <c r="CTH9" s="34"/>
      <c r="CTI9" s="34"/>
      <c r="CTJ9" s="34"/>
      <c r="CTK9" s="34"/>
      <c r="CTL9" s="34"/>
      <c r="CTM9" s="34"/>
      <c r="CTN9" s="34"/>
      <c r="CTO9" s="34"/>
      <c r="CTP9" s="34"/>
      <c r="CTQ9" s="34"/>
      <c r="CTR9" s="34"/>
      <c r="CTS9" s="34"/>
      <c r="CTT9" s="34"/>
      <c r="CTU9" s="34"/>
      <c r="CTV9" s="34"/>
      <c r="CTW9" s="34"/>
      <c r="CTX9" s="34"/>
      <c r="CTY9" s="34"/>
      <c r="CTZ9" s="34"/>
      <c r="CUA9" s="34"/>
      <c r="CUB9" s="34"/>
      <c r="CUC9" s="34"/>
      <c r="CUD9" s="34"/>
      <c r="CUE9" s="34"/>
      <c r="CUF9" s="34"/>
      <c r="CUG9" s="34"/>
      <c r="CUH9" s="34"/>
      <c r="CUI9" s="34"/>
      <c r="CUJ9" s="34"/>
      <c r="CUK9" s="34"/>
      <c r="CUL9" s="34"/>
      <c r="CUM9" s="34"/>
      <c r="CUN9" s="34"/>
      <c r="CUO9" s="34"/>
      <c r="CUP9" s="34"/>
      <c r="CUQ9" s="34"/>
      <c r="CUR9" s="34"/>
      <c r="CUS9" s="34"/>
      <c r="CUT9" s="34"/>
      <c r="CUU9" s="34"/>
      <c r="CUV9" s="34"/>
      <c r="CUW9" s="34"/>
      <c r="CUX9" s="34"/>
      <c r="CUY9" s="34"/>
      <c r="CUZ9" s="34"/>
      <c r="CVA9" s="34"/>
      <c r="CVB9" s="34"/>
      <c r="CVC9" s="34"/>
      <c r="CVD9" s="34"/>
      <c r="CVE9" s="34"/>
      <c r="CVF9" s="34"/>
      <c r="CVG9" s="34"/>
      <c r="CVH9" s="34"/>
      <c r="CVI9" s="34"/>
      <c r="CVJ9" s="34"/>
      <c r="CVK9" s="34"/>
      <c r="CVL9" s="34"/>
      <c r="CVM9" s="34"/>
      <c r="CVN9" s="34"/>
      <c r="CVO9" s="34"/>
      <c r="CVP9" s="34"/>
      <c r="CVQ9" s="34"/>
      <c r="CVR9" s="34"/>
      <c r="CVS9" s="34"/>
      <c r="CVT9" s="34"/>
      <c r="CVU9" s="34"/>
      <c r="CVV9" s="34"/>
      <c r="CVW9" s="34"/>
      <c r="CVX9" s="34"/>
      <c r="CVY9" s="34"/>
      <c r="CVZ9" s="34"/>
      <c r="CWA9" s="34"/>
      <c r="CWB9" s="34"/>
      <c r="CWC9" s="34"/>
      <c r="CWD9" s="34"/>
      <c r="CWE9" s="34"/>
      <c r="CWF9" s="34"/>
      <c r="CWG9" s="34"/>
      <c r="CWH9" s="34"/>
      <c r="CWI9" s="34"/>
      <c r="CWJ9" s="34"/>
      <c r="CWK9" s="34"/>
      <c r="CWL9" s="34"/>
      <c r="CWM9" s="34"/>
      <c r="CWN9" s="34"/>
      <c r="CWO9" s="34"/>
      <c r="CWP9" s="34"/>
      <c r="CWQ9" s="34"/>
      <c r="CWR9" s="34"/>
      <c r="CWS9" s="34"/>
      <c r="CWT9" s="34"/>
      <c r="CWU9" s="34"/>
      <c r="CWV9" s="34"/>
      <c r="CWW9" s="34"/>
      <c r="CWX9" s="34"/>
      <c r="CWY9" s="34"/>
      <c r="CWZ9" s="34"/>
      <c r="CXA9" s="34"/>
      <c r="CXB9" s="34"/>
      <c r="CXC9" s="34"/>
      <c r="CXD9" s="34"/>
      <c r="CXE9" s="34"/>
      <c r="CXF9" s="34"/>
      <c r="CXG9" s="34"/>
      <c r="CXH9" s="34"/>
      <c r="CXI9" s="34"/>
      <c r="CXJ9" s="34"/>
      <c r="CXK9" s="34"/>
      <c r="CXL9" s="34"/>
      <c r="CXM9" s="34"/>
      <c r="CXN9" s="34"/>
      <c r="CXO9" s="34"/>
      <c r="CXP9" s="34"/>
      <c r="CXQ9" s="34"/>
      <c r="CXR9" s="34"/>
      <c r="CXS9" s="34"/>
      <c r="CXT9" s="34"/>
      <c r="CXU9" s="34"/>
      <c r="CXV9" s="34"/>
      <c r="CXW9" s="34"/>
      <c r="CXX9" s="34"/>
      <c r="CXY9" s="34"/>
      <c r="CXZ9" s="34"/>
      <c r="CYA9" s="34"/>
      <c r="CYB9" s="34"/>
      <c r="CYC9" s="34"/>
      <c r="CYD9" s="34"/>
      <c r="CYE9" s="34"/>
      <c r="CYF9" s="34"/>
      <c r="CYG9" s="34"/>
      <c r="CYH9" s="34"/>
      <c r="CYI9" s="34"/>
      <c r="CYJ9" s="34"/>
      <c r="CYK9" s="34"/>
      <c r="CYL9" s="34"/>
      <c r="CYM9" s="34"/>
      <c r="CYN9" s="34"/>
      <c r="CYO9" s="34"/>
      <c r="CYP9" s="34"/>
      <c r="CYQ9" s="34"/>
      <c r="CYR9" s="34"/>
      <c r="CYS9" s="34"/>
      <c r="CYT9" s="34"/>
      <c r="CYU9" s="34"/>
      <c r="CYV9" s="34"/>
      <c r="CYW9" s="34"/>
      <c r="CYX9" s="34"/>
      <c r="CYY9" s="34"/>
      <c r="CYZ9" s="34"/>
      <c r="CZA9" s="34"/>
      <c r="CZB9" s="34"/>
      <c r="CZC9" s="34"/>
      <c r="CZD9" s="34"/>
      <c r="CZE9" s="34"/>
      <c r="CZF9" s="34"/>
      <c r="CZG9" s="34"/>
      <c r="CZH9" s="34"/>
      <c r="CZI9" s="34"/>
      <c r="CZJ9" s="34"/>
      <c r="CZK9" s="34"/>
      <c r="CZL9" s="34"/>
      <c r="CZM9" s="34"/>
      <c r="CZN9" s="34"/>
      <c r="CZO9" s="34"/>
      <c r="CZP9" s="34"/>
      <c r="CZQ9" s="34"/>
      <c r="CZR9" s="34"/>
      <c r="CZS9" s="34"/>
      <c r="CZT9" s="34"/>
      <c r="CZU9" s="34"/>
      <c r="CZV9" s="34"/>
      <c r="CZW9" s="34"/>
      <c r="CZX9" s="34"/>
      <c r="CZY9" s="34"/>
      <c r="CZZ9" s="34"/>
      <c r="DAA9" s="34"/>
      <c r="DAB9" s="34"/>
      <c r="DAC9" s="34"/>
      <c r="DAD9" s="34"/>
      <c r="DAE9" s="34"/>
      <c r="DAF9" s="34"/>
      <c r="DAG9" s="34"/>
      <c r="DAH9" s="34"/>
      <c r="DAI9" s="34"/>
      <c r="DAJ9" s="34"/>
      <c r="DAK9" s="34"/>
      <c r="DAL9" s="34"/>
      <c r="DAM9" s="34"/>
      <c r="DAN9" s="34"/>
      <c r="DAO9" s="34"/>
      <c r="DAP9" s="34"/>
      <c r="DAQ9" s="34"/>
      <c r="DAR9" s="34"/>
      <c r="DAS9" s="34"/>
      <c r="DAT9" s="34"/>
      <c r="DAU9" s="34"/>
      <c r="DAV9" s="34"/>
      <c r="DAW9" s="34"/>
      <c r="DAX9" s="34"/>
      <c r="DAY9" s="34"/>
      <c r="DAZ9" s="34"/>
      <c r="DBA9" s="34"/>
      <c r="DBB9" s="34"/>
      <c r="DBC9" s="34"/>
      <c r="DBD9" s="34"/>
      <c r="DBE9" s="34"/>
      <c r="DBF9" s="34"/>
      <c r="DBG9" s="34"/>
      <c r="DBH9" s="34"/>
      <c r="DBI9" s="34"/>
      <c r="DBJ9" s="34"/>
      <c r="DBK9" s="34"/>
      <c r="DBL9" s="34"/>
      <c r="DBM9" s="34"/>
      <c r="DBN9" s="34"/>
      <c r="DBO9" s="34"/>
      <c r="DBP9" s="34"/>
      <c r="DBQ9" s="34"/>
      <c r="DBR9" s="34"/>
      <c r="DBS9" s="34"/>
      <c r="DBT9" s="34"/>
      <c r="DBU9" s="34"/>
      <c r="DBV9" s="34"/>
      <c r="DBW9" s="34"/>
      <c r="DBX9" s="34"/>
      <c r="DBY9" s="34"/>
      <c r="DBZ9" s="34"/>
      <c r="DCA9" s="34"/>
      <c r="DCB9" s="34"/>
      <c r="DCC9" s="34"/>
      <c r="DCD9" s="34"/>
      <c r="DCE9" s="34"/>
      <c r="DCF9" s="34"/>
      <c r="DCG9" s="34"/>
      <c r="DCH9" s="34"/>
      <c r="DCI9" s="34"/>
      <c r="DCJ9" s="34"/>
      <c r="DCK9" s="34"/>
      <c r="DCL9" s="34"/>
      <c r="DCM9" s="34"/>
      <c r="DCN9" s="34"/>
      <c r="DCO9" s="34"/>
      <c r="DCP9" s="34"/>
      <c r="DCQ9" s="34"/>
      <c r="DCR9" s="34"/>
      <c r="DCS9" s="34"/>
      <c r="DCT9" s="34"/>
      <c r="DCU9" s="34"/>
      <c r="DCV9" s="34"/>
      <c r="DCW9" s="34"/>
      <c r="DCX9" s="34"/>
      <c r="DCY9" s="34"/>
      <c r="DCZ9" s="34"/>
      <c r="DDA9" s="34"/>
      <c r="DDB9" s="34"/>
      <c r="DDC9" s="34"/>
      <c r="DDD9" s="34"/>
      <c r="DDE9" s="34"/>
      <c r="DDF9" s="34"/>
      <c r="DDG9" s="34"/>
      <c r="DDH9" s="34"/>
      <c r="DDI9" s="34"/>
      <c r="DDJ9" s="34"/>
      <c r="DDK9" s="34"/>
      <c r="DDL9" s="34"/>
      <c r="DDM9" s="34"/>
      <c r="DDN9" s="34"/>
      <c r="DDO9" s="34"/>
      <c r="DDP9" s="34"/>
      <c r="DDQ9" s="34"/>
      <c r="DDR9" s="34"/>
      <c r="DDS9" s="34"/>
      <c r="DDT9" s="34"/>
      <c r="DDU9" s="34"/>
      <c r="DDV9" s="34"/>
      <c r="DDW9" s="34"/>
      <c r="DDX9" s="34"/>
      <c r="DDY9" s="34"/>
      <c r="DDZ9" s="34"/>
      <c r="DEA9" s="34"/>
      <c r="DEB9" s="34"/>
      <c r="DEC9" s="34"/>
      <c r="DED9" s="34"/>
      <c r="DEE9" s="34"/>
      <c r="DEF9" s="34"/>
      <c r="DEG9" s="34"/>
      <c r="DEH9" s="34"/>
      <c r="DEI9" s="34"/>
      <c r="DEJ9" s="34"/>
      <c r="DEK9" s="34"/>
      <c r="DEL9" s="34"/>
      <c r="DEM9" s="34"/>
      <c r="DEN9" s="34"/>
      <c r="DEO9" s="34"/>
      <c r="DEP9" s="34"/>
      <c r="DEQ9" s="34"/>
      <c r="DER9" s="34"/>
      <c r="DES9" s="34"/>
      <c r="DET9" s="34"/>
      <c r="DEU9" s="34"/>
      <c r="DEV9" s="34"/>
      <c r="DEW9" s="34"/>
      <c r="DEX9" s="34"/>
      <c r="DEY9" s="34"/>
      <c r="DEZ9" s="34"/>
      <c r="DFA9" s="34"/>
      <c r="DFB9" s="34"/>
      <c r="DFC9" s="34"/>
      <c r="DFD9" s="34"/>
      <c r="DFE9" s="34"/>
      <c r="DFF9" s="34"/>
      <c r="DFG9" s="34"/>
      <c r="DFH9" s="34"/>
      <c r="DFI9" s="34"/>
      <c r="DFJ9" s="34"/>
      <c r="DFK9" s="34"/>
      <c r="DFL9" s="34"/>
      <c r="DFM9" s="34"/>
      <c r="DFN9" s="34"/>
      <c r="DFO9" s="34"/>
      <c r="DFP9" s="34"/>
      <c r="DFQ9" s="34"/>
      <c r="DFR9" s="34"/>
      <c r="DFS9" s="34"/>
      <c r="DFT9" s="34"/>
      <c r="DFU9" s="34"/>
      <c r="DFV9" s="34"/>
      <c r="DFW9" s="34"/>
      <c r="DFX9" s="34"/>
      <c r="DFY9" s="34"/>
      <c r="DFZ9" s="34"/>
      <c r="DGA9" s="34"/>
      <c r="DGB9" s="34"/>
      <c r="DGC9" s="34"/>
      <c r="DGD9" s="34"/>
      <c r="DGE9" s="34"/>
      <c r="DGF9" s="34"/>
      <c r="DGG9" s="34"/>
      <c r="DGH9" s="34"/>
      <c r="DGI9" s="34"/>
      <c r="DGJ9" s="34"/>
      <c r="DGK9" s="34"/>
      <c r="DGL9" s="34"/>
      <c r="DGM9" s="34"/>
      <c r="DGN9" s="34"/>
      <c r="DGO9" s="34"/>
      <c r="DGP9" s="34"/>
      <c r="DGQ9" s="34"/>
      <c r="DGR9" s="34"/>
      <c r="DGS9" s="34"/>
      <c r="DGT9" s="34"/>
      <c r="DGU9" s="34"/>
      <c r="DGV9" s="34"/>
      <c r="DGW9" s="34"/>
      <c r="DGX9" s="34"/>
      <c r="DGY9" s="34"/>
      <c r="DGZ9" s="34"/>
      <c r="DHA9" s="34"/>
      <c r="DHB9" s="34"/>
      <c r="DHC9" s="34"/>
      <c r="DHD9" s="34"/>
      <c r="DHE9" s="34"/>
      <c r="DHF9" s="34"/>
      <c r="DHG9" s="34"/>
      <c r="DHH9" s="34"/>
      <c r="DHI9" s="34"/>
      <c r="DHJ9" s="34"/>
      <c r="DHK9" s="34"/>
      <c r="DHL9" s="34"/>
      <c r="DHM9" s="34"/>
      <c r="DHN9" s="34"/>
      <c r="DHO9" s="34"/>
      <c r="DHP9" s="34"/>
      <c r="DHQ9" s="34"/>
      <c r="DHR9" s="34"/>
      <c r="DHS9" s="34"/>
      <c r="DHT9" s="34"/>
      <c r="DHU9" s="34"/>
      <c r="DHV9" s="34"/>
    </row>
    <row r="10" spans="1:2934" s="35" customFormat="1" ht="24" customHeight="1" x14ac:dyDescent="0.35">
      <c r="A10" s="167">
        <v>5</v>
      </c>
      <c r="B10" s="168" t="s">
        <v>119</v>
      </c>
      <c r="C10" s="169">
        <v>2000</v>
      </c>
      <c r="D10" s="44">
        <v>1</v>
      </c>
      <c r="E10" s="44">
        <v>1</v>
      </c>
      <c r="F10" s="44">
        <v>2</v>
      </c>
      <c r="G10" s="44">
        <v>1</v>
      </c>
      <c r="H10" s="44">
        <v>1</v>
      </c>
      <c r="I10" s="44">
        <v>1</v>
      </c>
      <c r="J10" s="44">
        <v>0.5</v>
      </c>
      <c r="K10" s="44">
        <v>0</v>
      </c>
      <c r="L10" s="44">
        <v>1</v>
      </c>
      <c r="M10" s="44">
        <v>2</v>
      </c>
      <c r="N10" s="44">
        <v>1</v>
      </c>
      <c r="O10" s="44">
        <v>1</v>
      </c>
      <c r="P10" s="44">
        <v>1</v>
      </c>
      <c r="Q10" s="44">
        <v>1</v>
      </c>
      <c r="R10" s="44">
        <v>1</v>
      </c>
      <c r="S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2</v>
      </c>
      <c r="AB10" s="44">
        <v>1</v>
      </c>
      <c r="AC10" s="44">
        <v>0</v>
      </c>
      <c r="AD10" s="44">
        <v>0</v>
      </c>
      <c r="AE10" s="44">
        <v>0</v>
      </c>
      <c r="AF10" s="44">
        <v>1</v>
      </c>
      <c r="AG10" s="44">
        <v>1</v>
      </c>
      <c r="AH10" s="44"/>
      <c r="AI10" s="169">
        <f t="shared" si="0"/>
        <v>28.5</v>
      </c>
      <c r="AJ10" s="170">
        <v>44444</v>
      </c>
      <c r="AK10" s="171"/>
      <c r="AL10" s="172"/>
      <c r="AM10" s="173">
        <f>AI10*AL6</f>
        <v>1494.625</v>
      </c>
      <c r="AN10" s="174">
        <f t="shared" si="1"/>
        <v>505.375</v>
      </c>
      <c r="AO10" s="175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GU10" s="34"/>
      <c r="GV10" s="34"/>
      <c r="GW10" s="34"/>
      <c r="GX10" s="34"/>
      <c r="GY10" s="34"/>
      <c r="GZ10" s="34"/>
      <c r="HA10" s="34"/>
      <c r="HB10" s="34"/>
      <c r="HC10" s="34"/>
      <c r="HD10" s="34"/>
      <c r="HE10" s="34"/>
      <c r="HF10" s="34"/>
      <c r="HG10" s="34"/>
      <c r="HH10" s="34"/>
      <c r="HI10" s="34"/>
      <c r="HJ10" s="34"/>
      <c r="HK10" s="34"/>
      <c r="HL10" s="34"/>
      <c r="HM10" s="34"/>
      <c r="HN10" s="34"/>
      <c r="HO10" s="34"/>
      <c r="HP10" s="34"/>
      <c r="HQ10" s="34"/>
      <c r="HR10" s="34"/>
      <c r="HS10" s="34"/>
      <c r="HT10" s="34"/>
      <c r="HU10" s="34"/>
      <c r="HV10" s="34"/>
      <c r="HW10" s="34"/>
      <c r="HX10" s="34"/>
      <c r="HY10" s="34"/>
      <c r="HZ10" s="34"/>
      <c r="IA10" s="34"/>
      <c r="IB10" s="34"/>
      <c r="IC10" s="34"/>
      <c r="ID10" s="34"/>
      <c r="IE10" s="34"/>
      <c r="IF10" s="34"/>
      <c r="IG10" s="34"/>
      <c r="IH10" s="34"/>
      <c r="II10" s="34"/>
      <c r="IJ10" s="34"/>
      <c r="IK10" s="34"/>
      <c r="IL10" s="34"/>
      <c r="IM10" s="34"/>
      <c r="IN10" s="34"/>
      <c r="IO10" s="34"/>
      <c r="IP10" s="34"/>
      <c r="IQ10" s="34"/>
      <c r="IR10" s="34"/>
      <c r="IS10" s="34"/>
      <c r="IT10" s="34"/>
      <c r="IU10" s="34"/>
      <c r="IV10" s="34"/>
      <c r="IW10" s="34"/>
      <c r="IX10" s="34"/>
      <c r="IY10" s="34"/>
      <c r="IZ10" s="34"/>
      <c r="JA10" s="34"/>
      <c r="JB10" s="34"/>
      <c r="JC10" s="34"/>
      <c r="JD10" s="34"/>
      <c r="JE10" s="34"/>
      <c r="JF10" s="34"/>
      <c r="JG10" s="34"/>
      <c r="JH10" s="34"/>
      <c r="JI10" s="34"/>
      <c r="JJ10" s="34"/>
      <c r="JK10" s="34"/>
      <c r="JL10" s="34"/>
      <c r="JM10" s="34"/>
      <c r="JN10" s="34"/>
      <c r="JO10" s="34"/>
      <c r="JP10" s="34"/>
      <c r="JQ10" s="34"/>
      <c r="JR10" s="34"/>
      <c r="JS10" s="34"/>
      <c r="JT10" s="34"/>
      <c r="JU10" s="34"/>
      <c r="JV10" s="34"/>
      <c r="JW10" s="34"/>
      <c r="JX10" s="34"/>
      <c r="JY10" s="34"/>
      <c r="JZ10" s="34"/>
      <c r="KA10" s="34"/>
      <c r="KB10" s="34"/>
      <c r="KC10" s="34"/>
      <c r="KD10" s="34"/>
      <c r="KE10" s="34"/>
      <c r="KF10" s="34"/>
      <c r="KG10" s="34"/>
      <c r="KH10" s="34"/>
      <c r="KI10" s="34"/>
      <c r="KJ10" s="34"/>
      <c r="KK10" s="34"/>
      <c r="KL10" s="34"/>
      <c r="KM10" s="34"/>
      <c r="KN10" s="34"/>
      <c r="KO10" s="34"/>
      <c r="KP10" s="34"/>
      <c r="KQ10" s="34"/>
      <c r="KR10" s="34"/>
      <c r="KS10" s="34"/>
      <c r="KT10" s="34"/>
      <c r="KU10" s="34"/>
      <c r="KV10" s="34"/>
      <c r="KW10" s="34"/>
      <c r="KX10" s="34"/>
      <c r="KY10" s="34"/>
      <c r="KZ10" s="34"/>
      <c r="LA10" s="34"/>
      <c r="LB10" s="34"/>
      <c r="LC10" s="34"/>
      <c r="LD10" s="34"/>
      <c r="LE10" s="34"/>
      <c r="LF10" s="34"/>
      <c r="LG10" s="34"/>
      <c r="LH10" s="34"/>
      <c r="LI10" s="34"/>
      <c r="LJ10" s="34"/>
      <c r="LK10" s="34"/>
      <c r="LL10" s="34"/>
      <c r="LM10" s="34"/>
      <c r="LN10" s="34"/>
      <c r="LO10" s="34"/>
      <c r="LP10" s="34"/>
      <c r="LQ10" s="34"/>
      <c r="LR10" s="34"/>
      <c r="LS10" s="34"/>
      <c r="LT10" s="34"/>
      <c r="LU10" s="34"/>
      <c r="LV10" s="34"/>
      <c r="LW10" s="34"/>
      <c r="LX10" s="34"/>
      <c r="LY10" s="34"/>
      <c r="LZ10" s="34"/>
      <c r="MA10" s="34"/>
      <c r="MB10" s="34"/>
      <c r="MC10" s="34"/>
      <c r="MD10" s="34"/>
      <c r="ME10" s="34"/>
      <c r="MF10" s="34"/>
      <c r="MG10" s="34"/>
      <c r="MH10" s="34"/>
      <c r="MI10" s="34"/>
      <c r="MJ10" s="34"/>
      <c r="MK10" s="34"/>
      <c r="ML10" s="34"/>
      <c r="MM10" s="34"/>
      <c r="MN10" s="34"/>
      <c r="MO10" s="34"/>
      <c r="MP10" s="34"/>
      <c r="MQ10" s="34"/>
      <c r="MR10" s="34"/>
      <c r="MS10" s="34"/>
      <c r="MT10" s="34"/>
      <c r="MU10" s="34"/>
      <c r="MV10" s="34"/>
      <c r="MW10" s="34"/>
      <c r="MX10" s="34"/>
      <c r="MY10" s="34"/>
      <c r="MZ10" s="34"/>
      <c r="NA10" s="34"/>
      <c r="NB10" s="34"/>
      <c r="NC10" s="34"/>
      <c r="ND10" s="34"/>
      <c r="NE10" s="34"/>
      <c r="NF10" s="34"/>
      <c r="NG10" s="34"/>
      <c r="NH10" s="34"/>
      <c r="NI10" s="34"/>
      <c r="NJ10" s="34"/>
      <c r="NK10" s="34"/>
      <c r="NL10" s="34"/>
      <c r="NM10" s="34"/>
      <c r="NN10" s="34"/>
      <c r="NO10" s="34"/>
      <c r="NP10" s="34"/>
      <c r="NQ10" s="34"/>
      <c r="NR10" s="34"/>
      <c r="NS10" s="34"/>
      <c r="NT10" s="34"/>
      <c r="NU10" s="34"/>
      <c r="NV10" s="34"/>
      <c r="NW10" s="34"/>
      <c r="NX10" s="34"/>
      <c r="NY10" s="34"/>
      <c r="NZ10" s="34"/>
      <c r="OA10" s="34"/>
      <c r="OB10" s="34"/>
      <c r="OC10" s="34"/>
      <c r="OD10" s="34"/>
      <c r="OE10" s="34"/>
      <c r="OF10" s="34"/>
      <c r="OG10" s="34"/>
      <c r="OH10" s="34"/>
      <c r="OI10" s="34"/>
      <c r="OJ10" s="34"/>
      <c r="OK10" s="34"/>
      <c r="OL10" s="34"/>
      <c r="OM10" s="34"/>
      <c r="ON10" s="34"/>
      <c r="OO10" s="34"/>
      <c r="OP10" s="34"/>
      <c r="OQ10" s="34"/>
      <c r="OR10" s="34"/>
      <c r="OS10" s="34"/>
      <c r="OT10" s="34"/>
      <c r="OU10" s="34"/>
      <c r="OV10" s="34"/>
      <c r="OW10" s="34"/>
      <c r="OX10" s="34"/>
      <c r="OY10" s="34"/>
      <c r="OZ10" s="34"/>
      <c r="PA10" s="34"/>
      <c r="PB10" s="34"/>
      <c r="PC10" s="34"/>
      <c r="PD10" s="34"/>
      <c r="PE10" s="34"/>
      <c r="PF10" s="34"/>
      <c r="PG10" s="34"/>
      <c r="PH10" s="34"/>
      <c r="PI10" s="34"/>
      <c r="PJ10" s="34"/>
      <c r="PK10" s="34"/>
      <c r="PL10" s="34"/>
      <c r="PM10" s="34"/>
      <c r="PN10" s="34"/>
      <c r="PO10" s="34"/>
      <c r="PP10" s="34"/>
      <c r="PQ10" s="34"/>
      <c r="PR10" s="34"/>
      <c r="PS10" s="34"/>
      <c r="PT10" s="34"/>
      <c r="PU10" s="34"/>
      <c r="PV10" s="34"/>
      <c r="PW10" s="34"/>
      <c r="PX10" s="34"/>
      <c r="PY10" s="34"/>
      <c r="PZ10" s="34"/>
      <c r="QA10" s="34"/>
      <c r="QB10" s="34"/>
      <c r="QC10" s="34"/>
      <c r="QD10" s="34"/>
      <c r="QE10" s="34"/>
      <c r="QF10" s="34"/>
      <c r="QG10" s="34"/>
      <c r="QH10" s="34"/>
      <c r="QI10" s="34"/>
      <c r="QJ10" s="34"/>
      <c r="QK10" s="34"/>
      <c r="QL10" s="34"/>
      <c r="QM10" s="34"/>
      <c r="QN10" s="34"/>
      <c r="QO10" s="34"/>
      <c r="QP10" s="34"/>
      <c r="QQ10" s="34"/>
      <c r="QR10" s="34"/>
      <c r="QS10" s="34"/>
      <c r="QT10" s="34"/>
      <c r="QU10" s="34"/>
      <c r="QV10" s="34"/>
      <c r="QW10" s="34"/>
      <c r="QX10" s="34"/>
      <c r="QY10" s="34"/>
      <c r="QZ10" s="34"/>
      <c r="RA10" s="34"/>
      <c r="RB10" s="34"/>
      <c r="RC10" s="34"/>
      <c r="RD10" s="34"/>
      <c r="RE10" s="34"/>
      <c r="RF10" s="34"/>
      <c r="RG10" s="34"/>
      <c r="RH10" s="34"/>
      <c r="RI10" s="34"/>
      <c r="RJ10" s="34"/>
      <c r="RK10" s="34"/>
      <c r="RL10" s="34"/>
      <c r="RM10" s="34"/>
      <c r="RN10" s="34"/>
      <c r="RO10" s="34"/>
      <c r="RP10" s="34"/>
      <c r="RQ10" s="34"/>
      <c r="RR10" s="34"/>
      <c r="RS10" s="34"/>
      <c r="RT10" s="34"/>
      <c r="RU10" s="34"/>
      <c r="RV10" s="34"/>
      <c r="RW10" s="34"/>
      <c r="RX10" s="34"/>
      <c r="RY10" s="34"/>
      <c r="RZ10" s="34"/>
      <c r="SA10" s="34"/>
      <c r="SB10" s="34"/>
      <c r="SC10" s="34"/>
      <c r="SD10" s="34"/>
      <c r="SE10" s="34"/>
      <c r="SF10" s="34"/>
      <c r="SG10" s="34"/>
      <c r="SH10" s="34"/>
      <c r="SI10" s="34"/>
      <c r="SJ10" s="34"/>
      <c r="SK10" s="34"/>
      <c r="SL10" s="34"/>
      <c r="SM10" s="34"/>
      <c r="SN10" s="34"/>
      <c r="SO10" s="34"/>
      <c r="SP10" s="34"/>
      <c r="SQ10" s="34"/>
      <c r="SR10" s="34"/>
      <c r="SS10" s="34"/>
      <c r="ST10" s="34"/>
      <c r="SU10" s="34"/>
      <c r="SV10" s="34"/>
      <c r="SW10" s="34"/>
      <c r="SX10" s="34"/>
      <c r="SY10" s="34"/>
      <c r="SZ10" s="34"/>
      <c r="TA10" s="34"/>
      <c r="TB10" s="34"/>
      <c r="TC10" s="34"/>
      <c r="TD10" s="34"/>
      <c r="TE10" s="34"/>
      <c r="TF10" s="34"/>
      <c r="TG10" s="34"/>
      <c r="TH10" s="34"/>
      <c r="TI10" s="34"/>
      <c r="TJ10" s="34"/>
      <c r="TK10" s="34"/>
      <c r="TL10" s="34"/>
      <c r="TM10" s="34"/>
      <c r="TN10" s="34"/>
      <c r="TO10" s="34"/>
      <c r="TP10" s="34"/>
      <c r="TQ10" s="34"/>
      <c r="TR10" s="34"/>
      <c r="TS10" s="34"/>
      <c r="TT10" s="34"/>
      <c r="TU10" s="34"/>
      <c r="TV10" s="34"/>
      <c r="TW10" s="34"/>
      <c r="TX10" s="34"/>
      <c r="TY10" s="34"/>
      <c r="TZ10" s="34"/>
      <c r="UA10" s="34"/>
      <c r="UB10" s="34"/>
      <c r="UC10" s="34"/>
      <c r="UD10" s="34"/>
      <c r="UE10" s="34"/>
      <c r="UF10" s="34"/>
      <c r="UG10" s="34"/>
      <c r="UH10" s="34"/>
      <c r="UI10" s="34"/>
      <c r="UJ10" s="34"/>
      <c r="UK10" s="34"/>
      <c r="UL10" s="34"/>
      <c r="UM10" s="34"/>
      <c r="UN10" s="34"/>
      <c r="UO10" s="34"/>
      <c r="UP10" s="34"/>
      <c r="UQ10" s="34"/>
      <c r="UR10" s="34"/>
      <c r="US10" s="34"/>
      <c r="UT10" s="34"/>
      <c r="UU10" s="34"/>
      <c r="UV10" s="34"/>
      <c r="UW10" s="34"/>
      <c r="UX10" s="34"/>
      <c r="UY10" s="34"/>
      <c r="UZ10" s="34"/>
      <c r="VA10" s="34"/>
      <c r="VB10" s="34"/>
      <c r="VC10" s="34"/>
      <c r="VD10" s="34"/>
      <c r="VE10" s="34"/>
      <c r="VF10" s="34"/>
      <c r="VG10" s="34"/>
      <c r="VH10" s="34"/>
      <c r="VI10" s="34"/>
      <c r="VJ10" s="34"/>
      <c r="VK10" s="34"/>
      <c r="VL10" s="34"/>
      <c r="VM10" s="34"/>
      <c r="VN10" s="34"/>
      <c r="VO10" s="34"/>
      <c r="VP10" s="34"/>
      <c r="VQ10" s="34"/>
      <c r="VR10" s="34"/>
      <c r="VS10" s="34"/>
      <c r="VT10" s="34"/>
      <c r="VU10" s="34"/>
      <c r="VV10" s="34"/>
      <c r="VW10" s="34"/>
      <c r="VX10" s="34"/>
      <c r="VY10" s="34"/>
      <c r="VZ10" s="34"/>
      <c r="WA10" s="34"/>
      <c r="WB10" s="34"/>
      <c r="WC10" s="34"/>
      <c r="WD10" s="34"/>
      <c r="WE10" s="34"/>
      <c r="WF10" s="34"/>
      <c r="WG10" s="34"/>
      <c r="WH10" s="34"/>
      <c r="WI10" s="34"/>
      <c r="WJ10" s="34"/>
      <c r="WK10" s="34"/>
      <c r="WL10" s="34"/>
      <c r="WM10" s="34"/>
      <c r="WN10" s="34"/>
      <c r="WO10" s="34"/>
      <c r="WP10" s="34"/>
      <c r="WQ10" s="34"/>
      <c r="WR10" s="34"/>
      <c r="WS10" s="34"/>
      <c r="WT10" s="34"/>
      <c r="WU10" s="34"/>
      <c r="WV10" s="34"/>
      <c r="WW10" s="34"/>
      <c r="WX10" s="34"/>
      <c r="WY10" s="34"/>
      <c r="WZ10" s="34"/>
      <c r="XA10" s="34"/>
      <c r="XB10" s="34"/>
      <c r="XC10" s="34"/>
      <c r="XD10" s="34"/>
      <c r="XE10" s="34"/>
      <c r="XF10" s="34"/>
      <c r="XG10" s="34"/>
      <c r="XH10" s="34"/>
      <c r="XI10" s="34"/>
      <c r="XJ10" s="34"/>
      <c r="XK10" s="34"/>
      <c r="XL10" s="34"/>
      <c r="XM10" s="34"/>
      <c r="XN10" s="34"/>
      <c r="XO10" s="34"/>
      <c r="XP10" s="34"/>
      <c r="XQ10" s="34"/>
      <c r="XR10" s="34"/>
      <c r="XS10" s="34"/>
      <c r="XT10" s="34"/>
      <c r="XU10" s="34"/>
      <c r="XV10" s="34"/>
      <c r="XW10" s="34"/>
      <c r="XX10" s="34"/>
      <c r="XY10" s="34"/>
      <c r="XZ10" s="34"/>
      <c r="YA10" s="34"/>
      <c r="YB10" s="34"/>
      <c r="YC10" s="34"/>
      <c r="YD10" s="34"/>
      <c r="YE10" s="34"/>
      <c r="YF10" s="34"/>
      <c r="YG10" s="34"/>
      <c r="YH10" s="34"/>
      <c r="YI10" s="34"/>
      <c r="YJ10" s="34"/>
      <c r="YK10" s="34"/>
      <c r="YL10" s="34"/>
      <c r="YM10" s="34"/>
      <c r="YN10" s="34"/>
      <c r="YO10" s="34"/>
      <c r="YP10" s="34"/>
      <c r="YQ10" s="34"/>
      <c r="YR10" s="34"/>
      <c r="YS10" s="34"/>
      <c r="YT10" s="34"/>
      <c r="YU10" s="34"/>
      <c r="YV10" s="34"/>
      <c r="YW10" s="34"/>
      <c r="YX10" s="34"/>
      <c r="YY10" s="34"/>
      <c r="YZ10" s="34"/>
      <c r="ZA10" s="34"/>
      <c r="ZB10" s="34"/>
      <c r="ZC10" s="34"/>
      <c r="ZD10" s="34"/>
      <c r="ZE10" s="34"/>
      <c r="ZF10" s="34"/>
      <c r="ZG10" s="34"/>
      <c r="ZH10" s="34"/>
      <c r="ZI10" s="34"/>
      <c r="ZJ10" s="34"/>
      <c r="ZK10" s="34"/>
      <c r="ZL10" s="34"/>
      <c r="ZM10" s="34"/>
      <c r="ZN10" s="34"/>
      <c r="ZO10" s="34"/>
      <c r="ZP10" s="34"/>
      <c r="ZQ10" s="34"/>
      <c r="ZR10" s="34"/>
      <c r="ZS10" s="34"/>
      <c r="ZT10" s="34"/>
      <c r="ZU10" s="34"/>
      <c r="ZV10" s="34"/>
      <c r="ZW10" s="34"/>
      <c r="ZX10" s="34"/>
      <c r="ZY10" s="34"/>
      <c r="ZZ10" s="34"/>
      <c r="AAA10" s="34"/>
      <c r="AAB10" s="34"/>
      <c r="AAC10" s="34"/>
      <c r="AAD10" s="34"/>
      <c r="AAE10" s="34"/>
      <c r="AAF10" s="34"/>
      <c r="AAG10" s="34"/>
      <c r="AAH10" s="34"/>
      <c r="AAI10" s="34"/>
      <c r="AAJ10" s="34"/>
      <c r="AAK10" s="34"/>
      <c r="AAL10" s="34"/>
      <c r="AAM10" s="34"/>
      <c r="AAN10" s="34"/>
      <c r="AAO10" s="34"/>
      <c r="AAP10" s="34"/>
      <c r="AAQ10" s="34"/>
      <c r="AAR10" s="34"/>
      <c r="AAS10" s="34"/>
      <c r="AAT10" s="34"/>
      <c r="AAU10" s="34"/>
      <c r="AAV10" s="34"/>
      <c r="AAW10" s="34"/>
      <c r="AAX10" s="34"/>
      <c r="AAY10" s="34"/>
      <c r="AAZ10" s="34"/>
      <c r="ABA10" s="34"/>
      <c r="ABB10" s="34"/>
      <c r="ABC10" s="34"/>
      <c r="ABD10" s="34"/>
      <c r="ABE10" s="34"/>
      <c r="ABF10" s="34"/>
      <c r="ABG10" s="34"/>
      <c r="ABH10" s="34"/>
      <c r="ABI10" s="34"/>
      <c r="ABJ10" s="34"/>
      <c r="ABK10" s="34"/>
      <c r="ABL10" s="34"/>
      <c r="ABM10" s="34"/>
      <c r="ABN10" s="34"/>
      <c r="ABO10" s="34"/>
      <c r="ABP10" s="34"/>
      <c r="ABQ10" s="34"/>
      <c r="ABR10" s="34"/>
      <c r="ABS10" s="34"/>
      <c r="ABT10" s="34"/>
      <c r="ABU10" s="34"/>
      <c r="ABV10" s="34"/>
      <c r="ABW10" s="34"/>
      <c r="ABX10" s="34"/>
      <c r="ABY10" s="34"/>
      <c r="ABZ10" s="34"/>
      <c r="ACA10" s="34"/>
      <c r="ACB10" s="34"/>
      <c r="ACC10" s="34"/>
      <c r="ACD10" s="34"/>
      <c r="ACE10" s="34"/>
      <c r="ACF10" s="34"/>
      <c r="ACG10" s="34"/>
      <c r="ACH10" s="34"/>
      <c r="ACI10" s="34"/>
      <c r="ACJ10" s="34"/>
      <c r="ACK10" s="34"/>
      <c r="ACL10" s="34"/>
      <c r="ACM10" s="34"/>
      <c r="ACN10" s="34"/>
      <c r="ACO10" s="34"/>
      <c r="ACP10" s="34"/>
      <c r="ACQ10" s="34"/>
      <c r="ACR10" s="34"/>
      <c r="ACS10" s="34"/>
      <c r="ACT10" s="34"/>
      <c r="ACU10" s="34"/>
      <c r="ACV10" s="34"/>
      <c r="ACW10" s="34"/>
      <c r="ACX10" s="34"/>
      <c r="ACY10" s="34"/>
      <c r="ACZ10" s="34"/>
      <c r="ADA10" s="34"/>
      <c r="ADB10" s="34"/>
      <c r="ADC10" s="34"/>
      <c r="ADD10" s="34"/>
      <c r="ADE10" s="34"/>
      <c r="ADF10" s="34"/>
      <c r="ADG10" s="34"/>
      <c r="ADH10" s="34"/>
      <c r="ADI10" s="34"/>
      <c r="ADJ10" s="34"/>
      <c r="ADK10" s="34"/>
      <c r="ADL10" s="34"/>
      <c r="ADM10" s="34"/>
      <c r="ADN10" s="34"/>
      <c r="ADO10" s="34"/>
      <c r="ADP10" s="34"/>
      <c r="ADQ10" s="34"/>
      <c r="ADR10" s="34"/>
      <c r="ADS10" s="34"/>
      <c r="ADT10" s="34"/>
      <c r="ADU10" s="34"/>
      <c r="ADV10" s="34"/>
      <c r="ADW10" s="34"/>
      <c r="ADX10" s="34"/>
      <c r="ADY10" s="34"/>
      <c r="ADZ10" s="34"/>
      <c r="AEA10" s="34"/>
      <c r="AEB10" s="34"/>
      <c r="AEC10" s="34"/>
      <c r="AED10" s="34"/>
      <c r="AEE10" s="34"/>
      <c r="AEF10" s="34"/>
      <c r="AEG10" s="34"/>
      <c r="AEH10" s="34"/>
      <c r="AEI10" s="34"/>
      <c r="AEJ10" s="34"/>
      <c r="AEK10" s="34"/>
      <c r="AEL10" s="34"/>
      <c r="AEM10" s="34"/>
      <c r="AEN10" s="34"/>
      <c r="AEO10" s="34"/>
      <c r="AEP10" s="34"/>
      <c r="AEQ10" s="34"/>
      <c r="AER10" s="34"/>
      <c r="AES10" s="34"/>
      <c r="AET10" s="34"/>
      <c r="AEU10" s="34"/>
      <c r="AEV10" s="34"/>
      <c r="AEW10" s="34"/>
      <c r="AEX10" s="34"/>
      <c r="AEY10" s="34"/>
      <c r="AEZ10" s="34"/>
      <c r="AFA10" s="34"/>
      <c r="AFB10" s="34"/>
      <c r="AFC10" s="34"/>
      <c r="AFD10" s="34"/>
      <c r="AFE10" s="34"/>
      <c r="AFF10" s="34"/>
      <c r="AFG10" s="34"/>
      <c r="AFH10" s="34"/>
      <c r="AFI10" s="34"/>
      <c r="AFJ10" s="34"/>
      <c r="AFK10" s="34"/>
      <c r="AFL10" s="34"/>
      <c r="AFM10" s="34"/>
      <c r="AFN10" s="34"/>
      <c r="AFO10" s="34"/>
      <c r="AFP10" s="34"/>
      <c r="AFQ10" s="34"/>
      <c r="AFR10" s="34"/>
      <c r="AFS10" s="34"/>
      <c r="AFT10" s="34"/>
      <c r="AFU10" s="34"/>
      <c r="AFV10" s="34"/>
      <c r="AFW10" s="34"/>
      <c r="AFX10" s="34"/>
      <c r="AFY10" s="34"/>
      <c r="AFZ10" s="34"/>
      <c r="AGA10" s="34"/>
      <c r="AGB10" s="34"/>
      <c r="AGC10" s="34"/>
      <c r="AGD10" s="34"/>
      <c r="AGE10" s="34"/>
      <c r="AGF10" s="34"/>
      <c r="AGG10" s="34"/>
      <c r="AGH10" s="34"/>
      <c r="AGI10" s="34"/>
      <c r="AGJ10" s="34"/>
      <c r="AGK10" s="34"/>
      <c r="AGL10" s="34"/>
      <c r="AGM10" s="34"/>
      <c r="AGN10" s="34"/>
      <c r="AGO10" s="34"/>
      <c r="AGP10" s="34"/>
      <c r="AGQ10" s="34"/>
      <c r="AGR10" s="34"/>
      <c r="AGS10" s="34"/>
      <c r="AGT10" s="34"/>
      <c r="AGU10" s="34"/>
      <c r="AGV10" s="34"/>
      <c r="AGW10" s="34"/>
      <c r="AGX10" s="34"/>
      <c r="AGY10" s="34"/>
      <c r="AGZ10" s="34"/>
      <c r="AHA10" s="34"/>
      <c r="AHB10" s="34"/>
      <c r="AHC10" s="34"/>
      <c r="AHD10" s="34"/>
      <c r="AHE10" s="34"/>
      <c r="AHF10" s="34"/>
      <c r="AHG10" s="34"/>
      <c r="AHH10" s="34"/>
      <c r="AHI10" s="34"/>
      <c r="AHJ10" s="34"/>
      <c r="AHK10" s="34"/>
      <c r="AHL10" s="34"/>
      <c r="AHM10" s="34"/>
      <c r="AHN10" s="34"/>
      <c r="AHO10" s="34"/>
      <c r="AHP10" s="34"/>
      <c r="AHQ10" s="34"/>
      <c r="AHR10" s="34"/>
      <c r="AHS10" s="34"/>
      <c r="AHT10" s="34"/>
      <c r="AHU10" s="34"/>
      <c r="AHV10" s="34"/>
      <c r="AHW10" s="34"/>
      <c r="AHX10" s="34"/>
      <c r="AHY10" s="34"/>
      <c r="AHZ10" s="34"/>
      <c r="AIA10" s="34"/>
      <c r="AIB10" s="34"/>
      <c r="AIC10" s="34"/>
      <c r="AID10" s="34"/>
      <c r="AIE10" s="34"/>
      <c r="AIF10" s="34"/>
      <c r="AIG10" s="34"/>
      <c r="AIH10" s="34"/>
      <c r="AII10" s="34"/>
      <c r="AIJ10" s="34"/>
      <c r="AIK10" s="34"/>
      <c r="AIL10" s="34"/>
      <c r="AIM10" s="34"/>
      <c r="AIN10" s="34"/>
      <c r="AIO10" s="34"/>
      <c r="AIP10" s="34"/>
      <c r="AIQ10" s="34"/>
      <c r="AIR10" s="34"/>
      <c r="AIS10" s="34"/>
      <c r="AIT10" s="34"/>
      <c r="AIU10" s="34"/>
      <c r="AIV10" s="34"/>
      <c r="AIW10" s="34"/>
      <c r="AIX10" s="34"/>
      <c r="AIY10" s="34"/>
      <c r="AIZ10" s="34"/>
      <c r="AJA10" s="34"/>
      <c r="AJB10" s="34"/>
      <c r="AJC10" s="34"/>
      <c r="AJD10" s="34"/>
      <c r="AJE10" s="34"/>
      <c r="AJF10" s="34"/>
      <c r="AJG10" s="34"/>
      <c r="AJH10" s="34"/>
      <c r="AJI10" s="34"/>
      <c r="AJJ10" s="34"/>
      <c r="AJK10" s="34"/>
      <c r="AJL10" s="34"/>
      <c r="AJM10" s="34"/>
      <c r="AJN10" s="34"/>
      <c r="AJO10" s="34"/>
      <c r="AJP10" s="34"/>
      <c r="AJQ10" s="34"/>
      <c r="AJR10" s="34"/>
      <c r="AJS10" s="34"/>
      <c r="AJT10" s="34"/>
      <c r="AJU10" s="34"/>
      <c r="AJV10" s="34"/>
      <c r="AJW10" s="34"/>
      <c r="AJX10" s="34"/>
      <c r="AJY10" s="34"/>
      <c r="AJZ10" s="34"/>
      <c r="AKA10" s="34"/>
      <c r="AKB10" s="34"/>
      <c r="AKC10" s="34"/>
      <c r="AKD10" s="34"/>
      <c r="AKE10" s="34"/>
      <c r="AKF10" s="34"/>
      <c r="AKG10" s="34"/>
      <c r="AKH10" s="34"/>
      <c r="AKI10" s="34"/>
      <c r="AKJ10" s="34"/>
      <c r="AKK10" s="34"/>
      <c r="AKL10" s="34"/>
      <c r="AKM10" s="34"/>
      <c r="AKN10" s="34"/>
      <c r="AKO10" s="34"/>
      <c r="AKP10" s="34"/>
      <c r="AKQ10" s="34"/>
      <c r="AKR10" s="34"/>
      <c r="AKS10" s="34"/>
      <c r="AKT10" s="34"/>
      <c r="AKU10" s="34"/>
      <c r="AKV10" s="34"/>
      <c r="AKW10" s="34"/>
      <c r="AKX10" s="34"/>
      <c r="AKY10" s="34"/>
      <c r="AKZ10" s="34"/>
      <c r="ALA10" s="34"/>
      <c r="ALB10" s="34"/>
      <c r="ALC10" s="34"/>
      <c r="ALD10" s="34"/>
      <c r="ALE10" s="34"/>
      <c r="ALF10" s="34"/>
      <c r="ALG10" s="34"/>
      <c r="ALH10" s="34"/>
      <c r="ALI10" s="34"/>
      <c r="ALJ10" s="34"/>
      <c r="ALK10" s="34"/>
      <c r="ALL10" s="34"/>
      <c r="ALM10" s="34"/>
      <c r="ALN10" s="34"/>
      <c r="ALO10" s="34"/>
      <c r="ALP10" s="34"/>
      <c r="ALQ10" s="34"/>
      <c r="ALR10" s="34"/>
      <c r="ALS10" s="34"/>
      <c r="ALT10" s="34"/>
      <c r="ALU10" s="34"/>
      <c r="ALV10" s="34"/>
      <c r="ALW10" s="34"/>
      <c r="ALX10" s="34"/>
      <c r="ALY10" s="34"/>
      <c r="ALZ10" s="34"/>
      <c r="AMA10" s="34"/>
      <c r="AMB10" s="34"/>
      <c r="AMC10" s="34"/>
      <c r="AMD10" s="34"/>
      <c r="AME10" s="34"/>
      <c r="AMF10" s="34"/>
      <c r="AMG10" s="34"/>
      <c r="AMH10" s="34"/>
      <c r="AMI10" s="34"/>
      <c r="AMJ10" s="34"/>
      <c r="AMK10" s="34"/>
      <c r="AML10" s="34"/>
      <c r="AMM10" s="34"/>
      <c r="AMN10" s="34"/>
      <c r="AMO10" s="34"/>
      <c r="AMP10" s="34"/>
      <c r="AMQ10" s="34"/>
      <c r="AMR10" s="34"/>
      <c r="AMS10" s="34"/>
      <c r="AMT10" s="34"/>
      <c r="AMU10" s="34"/>
      <c r="AMV10" s="34"/>
      <c r="AMW10" s="34"/>
      <c r="AMX10" s="34"/>
      <c r="AMY10" s="34"/>
      <c r="AMZ10" s="34"/>
      <c r="ANA10" s="34"/>
      <c r="ANB10" s="34"/>
      <c r="ANC10" s="34"/>
      <c r="AND10" s="34"/>
      <c r="ANE10" s="34"/>
      <c r="ANF10" s="34"/>
      <c r="ANG10" s="34"/>
      <c r="ANH10" s="34"/>
      <c r="ANI10" s="34"/>
      <c r="ANJ10" s="34"/>
      <c r="ANK10" s="34"/>
      <c r="ANL10" s="34"/>
      <c r="ANM10" s="34"/>
      <c r="ANN10" s="34"/>
      <c r="ANO10" s="34"/>
      <c r="ANP10" s="34"/>
      <c r="ANQ10" s="34"/>
      <c r="ANR10" s="34"/>
      <c r="ANS10" s="34"/>
      <c r="ANT10" s="34"/>
      <c r="ANU10" s="34"/>
      <c r="ANV10" s="34"/>
      <c r="ANW10" s="34"/>
      <c r="ANX10" s="34"/>
      <c r="ANY10" s="34"/>
      <c r="ANZ10" s="34"/>
      <c r="AOA10" s="34"/>
      <c r="AOB10" s="34"/>
      <c r="AOC10" s="34"/>
      <c r="AOD10" s="34"/>
      <c r="AOE10" s="34"/>
      <c r="AOF10" s="34"/>
      <c r="AOG10" s="34"/>
      <c r="AOH10" s="34"/>
      <c r="AOI10" s="34"/>
      <c r="AOJ10" s="34"/>
      <c r="AOK10" s="34"/>
      <c r="AOL10" s="34"/>
      <c r="AOM10" s="34"/>
      <c r="AON10" s="34"/>
      <c r="AOO10" s="34"/>
      <c r="AOP10" s="34"/>
      <c r="AOQ10" s="34"/>
      <c r="AOR10" s="34"/>
      <c r="AOS10" s="34"/>
      <c r="AOT10" s="34"/>
      <c r="AOU10" s="34"/>
      <c r="AOV10" s="34"/>
      <c r="AOW10" s="34"/>
      <c r="AOX10" s="34"/>
      <c r="AOY10" s="34"/>
      <c r="AOZ10" s="34"/>
      <c r="APA10" s="34"/>
      <c r="APB10" s="34"/>
      <c r="APC10" s="34"/>
      <c r="APD10" s="34"/>
      <c r="APE10" s="34"/>
      <c r="APF10" s="34"/>
      <c r="APG10" s="34"/>
      <c r="APH10" s="34"/>
      <c r="API10" s="34"/>
      <c r="APJ10" s="34"/>
      <c r="APK10" s="34"/>
      <c r="APL10" s="34"/>
      <c r="APM10" s="34"/>
      <c r="APN10" s="34"/>
      <c r="APO10" s="34"/>
      <c r="APP10" s="34"/>
      <c r="APQ10" s="34"/>
      <c r="APR10" s="34"/>
      <c r="APS10" s="34"/>
      <c r="APT10" s="34"/>
      <c r="APU10" s="34"/>
      <c r="APV10" s="34"/>
      <c r="APW10" s="34"/>
      <c r="APX10" s="34"/>
      <c r="APY10" s="34"/>
      <c r="APZ10" s="34"/>
      <c r="AQA10" s="34"/>
      <c r="AQB10" s="34"/>
      <c r="AQC10" s="34"/>
      <c r="AQD10" s="34"/>
      <c r="AQE10" s="34"/>
      <c r="AQF10" s="34"/>
      <c r="AQG10" s="34"/>
      <c r="AQH10" s="34"/>
      <c r="AQI10" s="34"/>
      <c r="AQJ10" s="34"/>
      <c r="AQK10" s="34"/>
      <c r="AQL10" s="34"/>
      <c r="AQM10" s="34"/>
      <c r="AQN10" s="34"/>
      <c r="AQO10" s="34"/>
      <c r="AQP10" s="34"/>
      <c r="AQQ10" s="34"/>
      <c r="AQR10" s="34"/>
      <c r="AQS10" s="34"/>
      <c r="AQT10" s="34"/>
      <c r="AQU10" s="34"/>
      <c r="AQV10" s="34"/>
      <c r="AQW10" s="34"/>
      <c r="AQX10" s="34"/>
      <c r="AQY10" s="34"/>
      <c r="AQZ10" s="34"/>
      <c r="ARA10" s="34"/>
      <c r="ARB10" s="34"/>
      <c r="ARC10" s="34"/>
      <c r="ARD10" s="34"/>
      <c r="ARE10" s="34"/>
      <c r="ARF10" s="34"/>
      <c r="ARG10" s="34"/>
      <c r="ARH10" s="34"/>
      <c r="ARI10" s="34"/>
      <c r="ARJ10" s="34"/>
      <c r="ARK10" s="34"/>
      <c r="ARL10" s="34"/>
      <c r="ARM10" s="34"/>
      <c r="ARN10" s="34"/>
      <c r="ARO10" s="34"/>
      <c r="ARP10" s="34"/>
      <c r="ARQ10" s="34"/>
      <c r="ARR10" s="34"/>
      <c r="ARS10" s="34"/>
      <c r="ART10" s="34"/>
      <c r="ARU10" s="34"/>
      <c r="ARV10" s="34"/>
      <c r="ARW10" s="34"/>
      <c r="ARX10" s="34"/>
      <c r="ARY10" s="34"/>
      <c r="ARZ10" s="34"/>
      <c r="ASA10" s="34"/>
      <c r="ASB10" s="34"/>
      <c r="ASC10" s="34"/>
      <c r="ASD10" s="34"/>
      <c r="ASE10" s="34"/>
      <c r="ASF10" s="34"/>
      <c r="ASG10" s="34"/>
      <c r="ASH10" s="34"/>
      <c r="ASI10" s="34"/>
      <c r="ASJ10" s="34"/>
      <c r="ASK10" s="34"/>
      <c r="ASL10" s="34"/>
      <c r="ASM10" s="34"/>
      <c r="ASN10" s="34"/>
      <c r="ASO10" s="34"/>
      <c r="ASP10" s="34"/>
      <c r="ASQ10" s="34"/>
      <c r="ASR10" s="34"/>
      <c r="ASS10" s="34"/>
      <c r="AST10" s="34"/>
      <c r="ASU10" s="34"/>
      <c r="ASV10" s="34"/>
      <c r="ASW10" s="34"/>
      <c r="ASX10" s="34"/>
      <c r="ASY10" s="34"/>
      <c r="ASZ10" s="34"/>
      <c r="ATA10" s="34"/>
      <c r="ATB10" s="34"/>
      <c r="ATC10" s="34"/>
      <c r="ATD10" s="34"/>
      <c r="ATE10" s="34"/>
      <c r="ATF10" s="34"/>
      <c r="ATG10" s="34"/>
      <c r="ATH10" s="34"/>
      <c r="ATI10" s="34"/>
      <c r="ATJ10" s="34"/>
      <c r="ATK10" s="34"/>
      <c r="ATL10" s="34"/>
      <c r="ATM10" s="34"/>
      <c r="ATN10" s="34"/>
      <c r="ATO10" s="34"/>
      <c r="ATP10" s="34"/>
      <c r="ATQ10" s="34"/>
      <c r="ATR10" s="34"/>
      <c r="ATS10" s="34"/>
      <c r="ATT10" s="34"/>
      <c r="ATU10" s="34"/>
      <c r="ATV10" s="34"/>
      <c r="ATW10" s="34"/>
      <c r="ATX10" s="34"/>
      <c r="ATY10" s="34"/>
      <c r="ATZ10" s="34"/>
      <c r="AUA10" s="34"/>
      <c r="AUB10" s="34"/>
      <c r="AUC10" s="34"/>
      <c r="AUD10" s="34"/>
      <c r="AUE10" s="34"/>
      <c r="AUF10" s="34"/>
      <c r="AUG10" s="34"/>
      <c r="AUH10" s="34"/>
      <c r="AUI10" s="34"/>
      <c r="AUJ10" s="34"/>
      <c r="AUK10" s="34"/>
      <c r="AUL10" s="34"/>
      <c r="AUM10" s="34"/>
      <c r="AUN10" s="34"/>
      <c r="AUO10" s="34"/>
      <c r="AUP10" s="34"/>
      <c r="AUQ10" s="34"/>
      <c r="AUR10" s="34"/>
      <c r="AUS10" s="34"/>
      <c r="AUT10" s="34"/>
      <c r="AUU10" s="34"/>
      <c r="AUV10" s="34"/>
      <c r="AUW10" s="34"/>
      <c r="AUX10" s="34"/>
      <c r="AUY10" s="34"/>
      <c r="AUZ10" s="34"/>
      <c r="AVA10" s="34"/>
      <c r="AVB10" s="34"/>
      <c r="AVC10" s="34"/>
      <c r="AVD10" s="34"/>
      <c r="AVE10" s="34"/>
      <c r="AVF10" s="34"/>
      <c r="AVG10" s="34"/>
      <c r="AVH10" s="34"/>
      <c r="AVI10" s="34"/>
      <c r="AVJ10" s="34"/>
      <c r="AVK10" s="34"/>
      <c r="AVL10" s="34"/>
      <c r="AVM10" s="34"/>
      <c r="AVN10" s="34"/>
      <c r="AVO10" s="34"/>
      <c r="AVP10" s="34"/>
      <c r="AVQ10" s="34"/>
      <c r="AVR10" s="34"/>
      <c r="AVS10" s="34"/>
      <c r="AVT10" s="34"/>
      <c r="AVU10" s="34"/>
      <c r="AVV10" s="34"/>
      <c r="AVW10" s="34"/>
      <c r="AVX10" s="34"/>
      <c r="AVY10" s="34"/>
      <c r="AVZ10" s="34"/>
      <c r="AWA10" s="34"/>
      <c r="AWB10" s="34"/>
      <c r="AWC10" s="34"/>
      <c r="AWD10" s="34"/>
      <c r="AWE10" s="34"/>
      <c r="AWF10" s="34"/>
      <c r="AWG10" s="34"/>
      <c r="AWH10" s="34"/>
      <c r="AWI10" s="34"/>
      <c r="AWJ10" s="34"/>
      <c r="AWK10" s="34"/>
      <c r="AWL10" s="34"/>
      <c r="AWM10" s="34"/>
      <c r="AWN10" s="34"/>
      <c r="AWO10" s="34"/>
      <c r="AWP10" s="34"/>
      <c r="AWQ10" s="34"/>
      <c r="AWR10" s="34"/>
      <c r="AWS10" s="34"/>
      <c r="AWT10" s="34"/>
      <c r="AWU10" s="34"/>
      <c r="AWV10" s="34"/>
      <c r="AWW10" s="34"/>
      <c r="AWX10" s="34"/>
      <c r="AWY10" s="34"/>
      <c r="AWZ10" s="34"/>
      <c r="AXA10" s="34"/>
      <c r="AXB10" s="34"/>
      <c r="AXC10" s="34"/>
      <c r="AXD10" s="34"/>
      <c r="AXE10" s="34"/>
      <c r="AXF10" s="34"/>
      <c r="AXG10" s="34"/>
      <c r="AXH10" s="34"/>
      <c r="AXI10" s="34"/>
      <c r="AXJ10" s="34"/>
      <c r="AXK10" s="34"/>
      <c r="AXL10" s="34"/>
      <c r="AXM10" s="34"/>
      <c r="AXN10" s="34"/>
      <c r="AXO10" s="34"/>
      <c r="AXP10" s="34"/>
      <c r="AXQ10" s="34"/>
      <c r="AXR10" s="34"/>
      <c r="AXS10" s="34"/>
      <c r="AXT10" s="34"/>
      <c r="AXU10" s="34"/>
      <c r="AXV10" s="34"/>
      <c r="AXW10" s="34"/>
      <c r="AXX10" s="34"/>
      <c r="AXY10" s="34"/>
      <c r="AXZ10" s="34"/>
      <c r="AYA10" s="34"/>
      <c r="AYB10" s="34"/>
      <c r="AYC10" s="34"/>
      <c r="AYD10" s="34"/>
      <c r="AYE10" s="34"/>
      <c r="AYF10" s="34"/>
      <c r="AYG10" s="34"/>
      <c r="AYH10" s="34"/>
      <c r="AYI10" s="34"/>
      <c r="AYJ10" s="34"/>
      <c r="AYK10" s="34"/>
      <c r="AYL10" s="34"/>
      <c r="AYM10" s="34"/>
      <c r="AYN10" s="34"/>
      <c r="AYO10" s="34"/>
      <c r="AYP10" s="34"/>
      <c r="AYQ10" s="34"/>
      <c r="AYR10" s="34"/>
      <c r="AYS10" s="34"/>
      <c r="AYT10" s="34"/>
      <c r="AYU10" s="34"/>
      <c r="AYV10" s="34"/>
      <c r="AYW10" s="34"/>
      <c r="AYX10" s="34"/>
      <c r="AYY10" s="34"/>
      <c r="AYZ10" s="34"/>
      <c r="AZA10" s="34"/>
      <c r="AZB10" s="34"/>
      <c r="AZC10" s="34"/>
      <c r="AZD10" s="34"/>
      <c r="AZE10" s="34"/>
      <c r="AZF10" s="34"/>
      <c r="AZG10" s="34"/>
      <c r="AZH10" s="34"/>
      <c r="AZI10" s="34"/>
      <c r="AZJ10" s="34"/>
      <c r="AZK10" s="34"/>
      <c r="AZL10" s="34"/>
      <c r="AZM10" s="34"/>
      <c r="AZN10" s="34"/>
      <c r="AZO10" s="34"/>
      <c r="AZP10" s="34"/>
      <c r="AZQ10" s="34"/>
      <c r="AZR10" s="34"/>
      <c r="AZS10" s="34"/>
      <c r="AZT10" s="34"/>
      <c r="AZU10" s="34"/>
      <c r="AZV10" s="34"/>
      <c r="AZW10" s="34"/>
      <c r="AZX10" s="34"/>
      <c r="AZY10" s="34"/>
      <c r="AZZ10" s="34"/>
      <c r="BAA10" s="34"/>
      <c r="BAB10" s="34"/>
      <c r="BAC10" s="34"/>
      <c r="BAD10" s="34"/>
      <c r="BAE10" s="34"/>
      <c r="BAF10" s="34"/>
      <c r="BAG10" s="34"/>
      <c r="BAH10" s="34"/>
      <c r="BAI10" s="34"/>
      <c r="BAJ10" s="34"/>
      <c r="BAK10" s="34"/>
      <c r="BAL10" s="34"/>
      <c r="BAM10" s="34"/>
      <c r="BAN10" s="34"/>
      <c r="BAO10" s="34"/>
      <c r="BAP10" s="34"/>
      <c r="BAQ10" s="34"/>
      <c r="BAR10" s="34"/>
      <c r="BAS10" s="34"/>
      <c r="BAT10" s="34"/>
      <c r="BAU10" s="34"/>
      <c r="BAV10" s="34"/>
      <c r="BAW10" s="34"/>
      <c r="BAX10" s="34"/>
      <c r="BAY10" s="34"/>
      <c r="BAZ10" s="34"/>
      <c r="BBA10" s="34"/>
      <c r="BBB10" s="34"/>
      <c r="BBC10" s="34"/>
      <c r="BBD10" s="34"/>
      <c r="BBE10" s="34"/>
      <c r="BBF10" s="34"/>
      <c r="BBG10" s="34"/>
      <c r="BBH10" s="34"/>
      <c r="BBI10" s="34"/>
      <c r="BBJ10" s="34"/>
      <c r="BBK10" s="34"/>
      <c r="BBL10" s="34"/>
      <c r="BBM10" s="34"/>
      <c r="BBN10" s="34"/>
      <c r="BBO10" s="34"/>
      <c r="BBP10" s="34"/>
      <c r="BBQ10" s="34"/>
      <c r="BBR10" s="34"/>
      <c r="BBS10" s="34"/>
      <c r="BBT10" s="34"/>
      <c r="BBU10" s="34"/>
      <c r="BBV10" s="34"/>
      <c r="BBW10" s="34"/>
      <c r="BBX10" s="34"/>
      <c r="BBY10" s="34"/>
      <c r="BBZ10" s="34"/>
      <c r="BCA10" s="34"/>
      <c r="BCB10" s="34"/>
      <c r="BCC10" s="34"/>
      <c r="BCD10" s="34"/>
      <c r="BCE10" s="34"/>
      <c r="BCF10" s="34"/>
      <c r="BCG10" s="34"/>
      <c r="BCH10" s="34"/>
      <c r="BCI10" s="34"/>
      <c r="BCJ10" s="34"/>
      <c r="BCK10" s="34"/>
      <c r="BCL10" s="34"/>
      <c r="BCM10" s="34"/>
      <c r="BCN10" s="34"/>
      <c r="BCO10" s="34"/>
      <c r="BCP10" s="34"/>
      <c r="BCQ10" s="34"/>
      <c r="BCR10" s="34"/>
      <c r="BCS10" s="34"/>
      <c r="BCT10" s="34"/>
      <c r="BCU10" s="34"/>
      <c r="BCV10" s="34"/>
      <c r="BCW10" s="34"/>
      <c r="BCX10" s="34"/>
      <c r="BCY10" s="34"/>
      <c r="BCZ10" s="34"/>
      <c r="BDA10" s="34"/>
      <c r="BDB10" s="34"/>
      <c r="BDC10" s="34"/>
      <c r="BDD10" s="34"/>
      <c r="BDE10" s="34"/>
      <c r="BDF10" s="34"/>
      <c r="BDG10" s="34"/>
      <c r="BDH10" s="34"/>
      <c r="BDI10" s="34"/>
      <c r="BDJ10" s="34"/>
      <c r="BDK10" s="34"/>
      <c r="BDL10" s="34"/>
      <c r="BDM10" s="34"/>
      <c r="BDN10" s="34"/>
      <c r="BDO10" s="34"/>
      <c r="BDP10" s="34"/>
      <c r="BDQ10" s="34"/>
      <c r="BDR10" s="34"/>
      <c r="BDS10" s="34"/>
      <c r="BDT10" s="34"/>
      <c r="BDU10" s="34"/>
      <c r="BDV10" s="34"/>
      <c r="BDW10" s="34"/>
      <c r="BDX10" s="34"/>
      <c r="BDY10" s="34"/>
      <c r="BDZ10" s="34"/>
      <c r="BEA10" s="34"/>
      <c r="BEB10" s="34"/>
      <c r="BEC10" s="34"/>
      <c r="BED10" s="34"/>
      <c r="BEE10" s="34"/>
      <c r="BEF10" s="34"/>
      <c r="BEG10" s="34"/>
      <c r="BEH10" s="34"/>
      <c r="BEI10" s="34"/>
      <c r="BEJ10" s="34"/>
      <c r="BEK10" s="34"/>
      <c r="BEL10" s="34"/>
      <c r="BEM10" s="34"/>
      <c r="BEN10" s="34"/>
      <c r="BEO10" s="34"/>
      <c r="BEP10" s="34"/>
      <c r="BEQ10" s="34"/>
      <c r="BER10" s="34"/>
      <c r="BES10" s="34"/>
      <c r="BET10" s="34"/>
      <c r="BEU10" s="34"/>
      <c r="BEV10" s="34"/>
      <c r="BEW10" s="34"/>
      <c r="BEX10" s="34"/>
      <c r="BEY10" s="34"/>
      <c r="BEZ10" s="34"/>
      <c r="BFA10" s="34"/>
      <c r="BFB10" s="34"/>
      <c r="BFC10" s="34"/>
      <c r="BFD10" s="34"/>
      <c r="BFE10" s="34"/>
      <c r="BFF10" s="34"/>
      <c r="BFG10" s="34"/>
      <c r="BFH10" s="34"/>
      <c r="BFI10" s="34"/>
      <c r="BFJ10" s="34"/>
      <c r="BFK10" s="34"/>
      <c r="BFL10" s="34"/>
      <c r="BFM10" s="34"/>
      <c r="BFN10" s="34"/>
      <c r="BFO10" s="34"/>
      <c r="BFP10" s="34"/>
      <c r="BFQ10" s="34"/>
      <c r="BFR10" s="34"/>
      <c r="BFS10" s="34"/>
      <c r="BFT10" s="34"/>
      <c r="BFU10" s="34"/>
      <c r="BFV10" s="34"/>
      <c r="BFW10" s="34"/>
      <c r="BFX10" s="34"/>
      <c r="BFY10" s="34"/>
      <c r="BFZ10" s="34"/>
      <c r="BGA10" s="34"/>
      <c r="BGB10" s="34"/>
      <c r="BGC10" s="34"/>
      <c r="BGD10" s="34"/>
      <c r="BGE10" s="34"/>
      <c r="BGF10" s="34"/>
      <c r="BGG10" s="34"/>
      <c r="BGH10" s="34"/>
      <c r="BGI10" s="34"/>
      <c r="BGJ10" s="34"/>
      <c r="BGK10" s="34"/>
      <c r="BGL10" s="34"/>
      <c r="BGM10" s="34"/>
      <c r="BGN10" s="34"/>
      <c r="BGO10" s="34"/>
      <c r="BGP10" s="34"/>
      <c r="BGQ10" s="34"/>
      <c r="BGR10" s="34"/>
      <c r="BGS10" s="34"/>
      <c r="BGT10" s="34"/>
      <c r="BGU10" s="34"/>
      <c r="BGV10" s="34"/>
      <c r="BGW10" s="34"/>
      <c r="BGX10" s="34"/>
      <c r="BGY10" s="34"/>
      <c r="BGZ10" s="34"/>
      <c r="BHA10" s="34"/>
      <c r="BHB10" s="34"/>
      <c r="BHC10" s="34"/>
      <c r="BHD10" s="34"/>
      <c r="BHE10" s="34"/>
      <c r="BHF10" s="34"/>
      <c r="BHG10" s="34"/>
      <c r="BHH10" s="34"/>
      <c r="BHI10" s="34"/>
      <c r="BHJ10" s="34"/>
      <c r="BHK10" s="34"/>
      <c r="BHL10" s="34"/>
      <c r="BHM10" s="34"/>
      <c r="BHN10" s="34"/>
      <c r="BHO10" s="34"/>
      <c r="BHP10" s="34"/>
      <c r="BHQ10" s="34"/>
      <c r="BHR10" s="34"/>
      <c r="BHS10" s="34"/>
      <c r="BHT10" s="34"/>
      <c r="BHU10" s="34"/>
      <c r="BHV10" s="34"/>
      <c r="BHW10" s="34"/>
      <c r="BHX10" s="34"/>
      <c r="BHY10" s="34"/>
      <c r="BHZ10" s="34"/>
      <c r="BIA10" s="34"/>
      <c r="BIB10" s="34"/>
      <c r="BIC10" s="34"/>
      <c r="BID10" s="34"/>
      <c r="BIE10" s="34"/>
      <c r="BIF10" s="34"/>
      <c r="BIG10" s="34"/>
      <c r="BIH10" s="34"/>
      <c r="BII10" s="34"/>
      <c r="BIJ10" s="34"/>
      <c r="BIK10" s="34"/>
      <c r="BIL10" s="34"/>
      <c r="BIM10" s="34"/>
      <c r="BIN10" s="34"/>
      <c r="BIO10" s="34"/>
      <c r="BIP10" s="34"/>
      <c r="BIQ10" s="34"/>
      <c r="BIR10" s="34"/>
      <c r="BIS10" s="34"/>
      <c r="BIT10" s="34"/>
      <c r="BIU10" s="34"/>
      <c r="BIV10" s="34"/>
      <c r="BIW10" s="34"/>
      <c r="BIX10" s="34"/>
      <c r="BIY10" s="34"/>
      <c r="BIZ10" s="34"/>
      <c r="BJA10" s="34"/>
      <c r="BJB10" s="34"/>
      <c r="BJC10" s="34"/>
      <c r="BJD10" s="34"/>
      <c r="BJE10" s="34"/>
      <c r="BJF10" s="34"/>
      <c r="BJG10" s="34"/>
      <c r="BJH10" s="34"/>
      <c r="BJI10" s="34"/>
      <c r="BJJ10" s="34"/>
      <c r="BJK10" s="34"/>
      <c r="BJL10" s="34"/>
      <c r="BJM10" s="34"/>
      <c r="BJN10" s="34"/>
      <c r="BJO10" s="34"/>
      <c r="BJP10" s="34"/>
      <c r="BJQ10" s="34"/>
      <c r="BJR10" s="34"/>
      <c r="BJS10" s="34"/>
      <c r="BJT10" s="34"/>
      <c r="BJU10" s="34"/>
      <c r="BJV10" s="34"/>
      <c r="BJW10" s="34"/>
      <c r="BJX10" s="34"/>
      <c r="BJY10" s="34"/>
      <c r="BJZ10" s="34"/>
      <c r="BKA10" s="34"/>
      <c r="BKB10" s="34"/>
      <c r="BKC10" s="34"/>
      <c r="BKD10" s="34"/>
      <c r="BKE10" s="34"/>
      <c r="BKF10" s="34"/>
      <c r="BKG10" s="34"/>
      <c r="BKH10" s="34"/>
      <c r="BKI10" s="34"/>
      <c r="BKJ10" s="34"/>
      <c r="BKK10" s="34"/>
      <c r="BKL10" s="34"/>
      <c r="BKM10" s="34"/>
      <c r="BKN10" s="34"/>
      <c r="BKO10" s="34"/>
      <c r="BKP10" s="34"/>
      <c r="BKQ10" s="34"/>
      <c r="BKR10" s="34"/>
      <c r="BKS10" s="34"/>
      <c r="BKT10" s="34"/>
      <c r="BKU10" s="34"/>
      <c r="BKV10" s="34"/>
      <c r="BKW10" s="34"/>
      <c r="BKX10" s="34"/>
      <c r="BKY10" s="34"/>
      <c r="BKZ10" s="34"/>
      <c r="BLA10" s="34"/>
      <c r="BLB10" s="34"/>
      <c r="BLC10" s="34"/>
      <c r="BLD10" s="34"/>
      <c r="BLE10" s="34"/>
      <c r="BLF10" s="34"/>
      <c r="BLG10" s="34"/>
      <c r="BLH10" s="34"/>
      <c r="BLI10" s="34"/>
      <c r="BLJ10" s="34"/>
      <c r="BLK10" s="34"/>
      <c r="BLL10" s="34"/>
      <c r="BLM10" s="34"/>
      <c r="BLN10" s="34"/>
      <c r="BLO10" s="34"/>
      <c r="BLP10" s="34"/>
      <c r="BLQ10" s="34"/>
      <c r="BLR10" s="34"/>
      <c r="BLS10" s="34"/>
      <c r="BLT10" s="34"/>
      <c r="BLU10" s="34"/>
      <c r="BLV10" s="34"/>
      <c r="BLW10" s="34"/>
      <c r="BLX10" s="34"/>
      <c r="BLY10" s="34"/>
      <c r="BLZ10" s="34"/>
      <c r="BMA10" s="34"/>
      <c r="BMB10" s="34"/>
      <c r="BMC10" s="34"/>
      <c r="BMD10" s="34"/>
      <c r="BME10" s="34"/>
      <c r="BMF10" s="34"/>
      <c r="BMG10" s="34"/>
      <c r="BMH10" s="34"/>
      <c r="BMI10" s="34"/>
      <c r="BMJ10" s="34"/>
      <c r="BMK10" s="34"/>
      <c r="BML10" s="34"/>
      <c r="BMM10" s="34"/>
      <c r="BMN10" s="34"/>
      <c r="BMO10" s="34"/>
      <c r="BMP10" s="34"/>
      <c r="BMQ10" s="34"/>
      <c r="BMR10" s="34"/>
      <c r="BMS10" s="34"/>
      <c r="BMT10" s="34"/>
      <c r="BMU10" s="34"/>
      <c r="BMV10" s="34"/>
      <c r="BMW10" s="34"/>
      <c r="BMX10" s="34"/>
      <c r="BMY10" s="34"/>
      <c r="BMZ10" s="34"/>
      <c r="BNA10" s="34"/>
      <c r="BNB10" s="34"/>
      <c r="BNC10" s="34"/>
      <c r="BND10" s="34"/>
      <c r="BNE10" s="34"/>
      <c r="BNF10" s="34"/>
      <c r="BNG10" s="34"/>
      <c r="BNH10" s="34"/>
      <c r="BNI10" s="34"/>
      <c r="BNJ10" s="34"/>
      <c r="BNK10" s="34"/>
      <c r="BNL10" s="34"/>
      <c r="BNM10" s="34"/>
      <c r="BNN10" s="34"/>
      <c r="BNO10" s="34"/>
      <c r="BNP10" s="34"/>
      <c r="BNQ10" s="34"/>
      <c r="BNR10" s="34"/>
      <c r="BNS10" s="34"/>
      <c r="BNT10" s="34"/>
      <c r="BNU10" s="34"/>
      <c r="BNV10" s="34"/>
      <c r="BNW10" s="34"/>
      <c r="BNX10" s="34"/>
      <c r="BNY10" s="34"/>
      <c r="BNZ10" s="34"/>
      <c r="BOA10" s="34"/>
      <c r="BOB10" s="34"/>
      <c r="BOC10" s="34"/>
      <c r="BOD10" s="34"/>
      <c r="BOE10" s="34"/>
      <c r="BOF10" s="34"/>
      <c r="BOG10" s="34"/>
      <c r="BOH10" s="34"/>
      <c r="BOI10" s="34"/>
      <c r="BOJ10" s="34"/>
      <c r="BOK10" s="34"/>
      <c r="BOL10" s="34"/>
      <c r="BOM10" s="34"/>
      <c r="BON10" s="34"/>
      <c r="BOO10" s="34"/>
      <c r="BOP10" s="34"/>
      <c r="BOQ10" s="34"/>
      <c r="BOR10" s="34"/>
      <c r="BOS10" s="34"/>
      <c r="BOT10" s="34"/>
      <c r="BOU10" s="34"/>
      <c r="BOV10" s="34"/>
      <c r="BOW10" s="34"/>
      <c r="BOX10" s="34"/>
      <c r="BOY10" s="34"/>
      <c r="BOZ10" s="34"/>
      <c r="BPA10" s="34"/>
      <c r="BPB10" s="34"/>
      <c r="BPC10" s="34"/>
      <c r="BPD10" s="34"/>
      <c r="BPE10" s="34"/>
      <c r="BPF10" s="34"/>
      <c r="BPG10" s="34"/>
      <c r="BPH10" s="34"/>
      <c r="BPI10" s="34"/>
      <c r="BPJ10" s="34"/>
      <c r="BPK10" s="34"/>
      <c r="BPL10" s="34"/>
      <c r="BPM10" s="34"/>
      <c r="BPN10" s="34"/>
      <c r="BPO10" s="34"/>
      <c r="BPP10" s="34"/>
      <c r="BPQ10" s="34"/>
      <c r="BPR10" s="34"/>
      <c r="BPS10" s="34"/>
      <c r="BPT10" s="34"/>
      <c r="BPU10" s="34"/>
      <c r="BPV10" s="34"/>
      <c r="BPW10" s="34"/>
      <c r="BPX10" s="34"/>
      <c r="BPY10" s="34"/>
      <c r="BPZ10" s="34"/>
      <c r="BQA10" s="34"/>
      <c r="BQB10" s="34"/>
      <c r="BQC10" s="34"/>
      <c r="BQD10" s="34"/>
      <c r="BQE10" s="34"/>
      <c r="BQF10" s="34"/>
      <c r="BQG10" s="34"/>
      <c r="BQH10" s="34"/>
      <c r="BQI10" s="34"/>
      <c r="BQJ10" s="34"/>
      <c r="BQK10" s="34"/>
      <c r="BQL10" s="34"/>
      <c r="BQM10" s="34"/>
      <c r="BQN10" s="34"/>
      <c r="BQO10" s="34"/>
      <c r="BQP10" s="34"/>
      <c r="BQQ10" s="34"/>
      <c r="BQR10" s="34"/>
      <c r="BQS10" s="34"/>
      <c r="BQT10" s="34"/>
      <c r="BQU10" s="34"/>
      <c r="BQV10" s="34"/>
      <c r="BQW10" s="34"/>
      <c r="BQX10" s="34"/>
      <c r="BQY10" s="34"/>
      <c r="BQZ10" s="34"/>
      <c r="BRA10" s="34"/>
      <c r="BRB10" s="34"/>
      <c r="BRC10" s="34"/>
      <c r="BRD10" s="34"/>
      <c r="BRE10" s="34"/>
      <c r="BRF10" s="34"/>
      <c r="BRG10" s="34"/>
      <c r="BRH10" s="34"/>
      <c r="BRI10" s="34"/>
      <c r="BRJ10" s="34"/>
      <c r="BRK10" s="34"/>
      <c r="BRL10" s="34"/>
      <c r="BRM10" s="34"/>
      <c r="BRN10" s="34"/>
      <c r="BRO10" s="34"/>
      <c r="BRP10" s="34"/>
      <c r="BRQ10" s="34"/>
      <c r="BRR10" s="34"/>
      <c r="BRS10" s="34"/>
      <c r="BRT10" s="34"/>
      <c r="BRU10" s="34"/>
      <c r="BRV10" s="34"/>
      <c r="BRW10" s="34"/>
      <c r="BRX10" s="34"/>
      <c r="BRY10" s="34"/>
      <c r="BRZ10" s="34"/>
      <c r="BSA10" s="34"/>
      <c r="BSB10" s="34"/>
      <c r="BSC10" s="34"/>
      <c r="BSD10" s="34"/>
      <c r="BSE10" s="34"/>
      <c r="BSF10" s="34"/>
      <c r="BSG10" s="34"/>
      <c r="BSH10" s="34"/>
      <c r="BSI10" s="34"/>
      <c r="BSJ10" s="34"/>
      <c r="BSK10" s="34"/>
      <c r="BSL10" s="34"/>
      <c r="BSM10" s="34"/>
      <c r="BSN10" s="34"/>
      <c r="BSO10" s="34"/>
      <c r="BSP10" s="34"/>
      <c r="BSQ10" s="34"/>
      <c r="BSR10" s="34"/>
      <c r="BSS10" s="34"/>
      <c r="BST10" s="34"/>
      <c r="BSU10" s="34"/>
      <c r="BSV10" s="34"/>
      <c r="BSW10" s="34"/>
      <c r="BSX10" s="34"/>
      <c r="BSY10" s="34"/>
      <c r="BSZ10" s="34"/>
      <c r="BTA10" s="34"/>
      <c r="BTB10" s="34"/>
      <c r="BTC10" s="34"/>
      <c r="BTD10" s="34"/>
      <c r="BTE10" s="34"/>
      <c r="BTF10" s="34"/>
      <c r="BTG10" s="34"/>
      <c r="BTH10" s="34"/>
      <c r="BTI10" s="34"/>
      <c r="BTJ10" s="34"/>
      <c r="BTK10" s="34"/>
      <c r="BTL10" s="34"/>
      <c r="BTM10" s="34"/>
      <c r="BTN10" s="34"/>
      <c r="BTO10" s="34"/>
      <c r="BTP10" s="34"/>
      <c r="BTQ10" s="34"/>
      <c r="BTR10" s="34"/>
      <c r="BTS10" s="34"/>
      <c r="BTT10" s="34"/>
      <c r="BTU10" s="34"/>
      <c r="BTV10" s="34"/>
      <c r="BTW10" s="34"/>
      <c r="BTX10" s="34"/>
      <c r="BTY10" s="34"/>
      <c r="BTZ10" s="34"/>
      <c r="BUA10" s="34"/>
      <c r="BUB10" s="34"/>
      <c r="BUC10" s="34"/>
      <c r="BUD10" s="34"/>
      <c r="BUE10" s="34"/>
      <c r="BUF10" s="34"/>
      <c r="BUG10" s="34"/>
      <c r="BUH10" s="34"/>
      <c r="BUI10" s="34"/>
      <c r="BUJ10" s="34"/>
      <c r="BUK10" s="34"/>
      <c r="BUL10" s="34"/>
      <c r="BUM10" s="34"/>
      <c r="BUN10" s="34"/>
      <c r="BUO10" s="34"/>
      <c r="BUP10" s="34"/>
      <c r="BUQ10" s="34"/>
      <c r="BUR10" s="34"/>
      <c r="BUS10" s="34"/>
      <c r="BUT10" s="34"/>
      <c r="BUU10" s="34"/>
      <c r="BUV10" s="34"/>
      <c r="BUW10" s="34"/>
      <c r="BUX10" s="34"/>
      <c r="BUY10" s="34"/>
      <c r="BUZ10" s="34"/>
      <c r="BVA10" s="34"/>
      <c r="BVB10" s="34"/>
      <c r="BVC10" s="34"/>
      <c r="BVD10" s="34"/>
      <c r="BVE10" s="34"/>
      <c r="BVF10" s="34"/>
      <c r="BVG10" s="34"/>
      <c r="BVH10" s="34"/>
      <c r="BVI10" s="34"/>
      <c r="BVJ10" s="34"/>
      <c r="BVK10" s="34"/>
      <c r="BVL10" s="34"/>
      <c r="BVM10" s="34"/>
      <c r="BVN10" s="34"/>
      <c r="BVO10" s="34"/>
      <c r="BVP10" s="34"/>
      <c r="BVQ10" s="34"/>
      <c r="BVR10" s="34"/>
      <c r="BVS10" s="34"/>
      <c r="BVT10" s="34"/>
      <c r="BVU10" s="34"/>
      <c r="BVV10" s="34"/>
      <c r="BVW10" s="34"/>
      <c r="BVX10" s="34"/>
      <c r="BVY10" s="34"/>
      <c r="BVZ10" s="34"/>
      <c r="BWA10" s="34"/>
      <c r="BWB10" s="34"/>
      <c r="BWC10" s="34"/>
      <c r="BWD10" s="34"/>
      <c r="BWE10" s="34"/>
      <c r="BWF10" s="34"/>
      <c r="BWG10" s="34"/>
      <c r="BWH10" s="34"/>
      <c r="BWI10" s="34"/>
      <c r="BWJ10" s="34"/>
      <c r="BWK10" s="34"/>
      <c r="BWL10" s="34"/>
      <c r="BWM10" s="34"/>
      <c r="BWN10" s="34"/>
      <c r="BWO10" s="34"/>
      <c r="BWP10" s="34"/>
      <c r="BWQ10" s="34"/>
      <c r="BWR10" s="34"/>
      <c r="BWS10" s="34"/>
      <c r="BWT10" s="34"/>
      <c r="BWU10" s="34"/>
      <c r="BWV10" s="34"/>
      <c r="BWW10" s="34"/>
      <c r="BWX10" s="34"/>
      <c r="BWY10" s="34"/>
      <c r="BWZ10" s="34"/>
      <c r="BXA10" s="34"/>
      <c r="BXB10" s="34"/>
      <c r="BXC10" s="34"/>
      <c r="BXD10" s="34"/>
      <c r="BXE10" s="34"/>
      <c r="BXF10" s="34"/>
      <c r="BXG10" s="34"/>
      <c r="BXH10" s="34"/>
      <c r="BXI10" s="34"/>
      <c r="BXJ10" s="34"/>
      <c r="BXK10" s="34"/>
      <c r="BXL10" s="34"/>
      <c r="BXM10" s="34"/>
      <c r="BXN10" s="34"/>
      <c r="BXO10" s="34"/>
      <c r="BXP10" s="34"/>
      <c r="BXQ10" s="34"/>
      <c r="BXR10" s="34"/>
      <c r="BXS10" s="34"/>
      <c r="BXT10" s="34"/>
      <c r="BXU10" s="34"/>
      <c r="BXV10" s="34"/>
      <c r="BXW10" s="34"/>
      <c r="BXX10" s="34"/>
      <c r="BXY10" s="34"/>
      <c r="BXZ10" s="34"/>
      <c r="BYA10" s="34"/>
      <c r="BYB10" s="34"/>
      <c r="BYC10" s="34"/>
      <c r="BYD10" s="34"/>
      <c r="BYE10" s="34"/>
      <c r="BYF10" s="34"/>
      <c r="BYG10" s="34"/>
      <c r="BYH10" s="34"/>
      <c r="BYI10" s="34"/>
      <c r="BYJ10" s="34"/>
      <c r="BYK10" s="34"/>
      <c r="BYL10" s="34"/>
      <c r="BYM10" s="34"/>
      <c r="BYN10" s="34"/>
      <c r="BYO10" s="34"/>
      <c r="BYP10" s="34"/>
      <c r="BYQ10" s="34"/>
      <c r="BYR10" s="34"/>
      <c r="BYS10" s="34"/>
      <c r="BYT10" s="34"/>
      <c r="BYU10" s="34"/>
      <c r="BYV10" s="34"/>
      <c r="BYW10" s="34"/>
      <c r="BYX10" s="34"/>
      <c r="BYY10" s="34"/>
      <c r="BYZ10" s="34"/>
      <c r="BZA10" s="34"/>
      <c r="BZB10" s="34"/>
      <c r="BZC10" s="34"/>
      <c r="BZD10" s="34"/>
      <c r="BZE10" s="34"/>
      <c r="BZF10" s="34"/>
      <c r="BZG10" s="34"/>
      <c r="BZH10" s="34"/>
      <c r="BZI10" s="34"/>
      <c r="BZJ10" s="34"/>
      <c r="BZK10" s="34"/>
      <c r="BZL10" s="34"/>
      <c r="BZM10" s="34"/>
      <c r="BZN10" s="34"/>
      <c r="BZO10" s="34"/>
      <c r="BZP10" s="34"/>
      <c r="BZQ10" s="34"/>
      <c r="BZR10" s="34"/>
      <c r="BZS10" s="34"/>
      <c r="BZT10" s="34"/>
      <c r="BZU10" s="34"/>
      <c r="BZV10" s="34"/>
      <c r="BZW10" s="34"/>
      <c r="BZX10" s="34"/>
      <c r="BZY10" s="34"/>
      <c r="BZZ10" s="34"/>
      <c r="CAA10" s="34"/>
      <c r="CAB10" s="34"/>
      <c r="CAC10" s="34"/>
      <c r="CAD10" s="34"/>
      <c r="CAE10" s="34"/>
      <c r="CAF10" s="34"/>
      <c r="CAG10" s="34"/>
      <c r="CAH10" s="34"/>
      <c r="CAI10" s="34"/>
      <c r="CAJ10" s="34"/>
      <c r="CAK10" s="34"/>
      <c r="CAL10" s="34"/>
      <c r="CAM10" s="34"/>
      <c r="CAN10" s="34"/>
      <c r="CAO10" s="34"/>
      <c r="CAP10" s="34"/>
      <c r="CAQ10" s="34"/>
      <c r="CAR10" s="34"/>
      <c r="CAS10" s="34"/>
      <c r="CAT10" s="34"/>
      <c r="CAU10" s="34"/>
      <c r="CAV10" s="34"/>
      <c r="CAW10" s="34"/>
      <c r="CAX10" s="34"/>
      <c r="CAY10" s="34"/>
      <c r="CAZ10" s="34"/>
      <c r="CBA10" s="34"/>
      <c r="CBB10" s="34"/>
      <c r="CBC10" s="34"/>
      <c r="CBD10" s="34"/>
      <c r="CBE10" s="34"/>
      <c r="CBF10" s="34"/>
      <c r="CBG10" s="34"/>
      <c r="CBH10" s="34"/>
      <c r="CBI10" s="34"/>
      <c r="CBJ10" s="34"/>
      <c r="CBK10" s="34"/>
      <c r="CBL10" s="34"/>
      <c r="CBM10" s="34"/>
      <c r="CBN10" s="34"/>
      <c r="CBO10" s="34"/>
      <c r="CBP10" s="34"/>
      <c r="CBQ10" s="34"/>
      <c r="CBR10" s="34"/>
      <c r="CBS10" s="34"/>
      <c r="CBT10" s="34"/>
      <c r="CBU10" s="34"/>
      <c r="CBV10" s="34"/>
      <c r="CBW10" s="34"/>
      <c r="CBX10" s="34"/>
      <c r="CBY10" s="34"/>
      <c r="CBZ10" s="34"/>
      <c r="CCA10" s="34"/>
      <c r="CCB10" s="34"/>
      <c r="CCC10" s="34"/>
      <c r="CCD10" s="34"/>
      <c r="CCE10" s="34"/>
      <c r="CCF10" s="34"/>
      <c r="CCG10" s="34"/>
      <c r="CCH10" s="34"/>
      <c r="CCI10" s="34"/>
      <c r="CCJ10" s="34"/>
      <c r="CCK10" s="34"/>
      <c r="CCL10" s="34"/>
      <c r="CCM10" s="34"/>
      <c r="CCN10" s="34"/>
      <c r="CCO10" s="34"/>
      <c r="CCP10" s="34"/>
      <c r="CCQ10" s="34"/>
      <c r="CCR10" s="34"/>
      <c r="CCS10" s="34"/>
      <c r="CCT10" s="34"/>
      <c r="CCU10" s="34"/>
      <c r="CCV10" s="34"/>
      <c r="CCW10" s="34"/>
      <c r="CCX10" s="34"/>
      <c r="CCY10" s="34"/>
      <c r="CCZ10" s="34"/>
      <c r="CDA10" s="34"/>
      <c r="CDB10" s="34"/>
      <c r="CDC10" s="34"/>
      <c r="CDD10" s="34"/>
      <c r="CDE10" s="34"/>
      <c r="CDF10" s="34"/>
      <c r="CDG10" s="34"/>
      <c r="CDH10" s="34"/>
      <c r="CDI10" s="34"/>
      <c r="CDJ10" s="34"/>
      <c r="CDK10" s="34"/>
      <c r="CDL10" s="34"/>
      <c r="CDM10" s="34"/>
      <c r="CDN10" s="34"/>
      <c r="CDO10" s="34"/>
      <c r="CDP10" s="34"/>
      <c r="CDQ10" s="34"/>
      <c r="CDR10" s="34"/>
      <c r="CDS10" s="34"/>
      <c r="CDT10" s="34"/>
      <c r="CDU10" s="34"/>
      <c r="CDV10" s="34"/>
      <c r="CDW10" s="34"/>
      <c r="CDX10" s="34"/>
      <c r="CDY10" s="34"/>
      <c r="CDZ10" s="34"/>
      <c r="CEA10" s="34"/>
      <c r="CEB10" s="34"/>
      <c r="CEC10" s="34"/>
      <c r="CED10" s="34"/>
      <c r="CEE10" s="34"/>
      <c r="CEF10" s="34"/>
      <c r="CEG10" s="34"/>
      <c r="CEH10" s="34"/>
      <c r="CEI10" s="34"/>
      <c r="CEJ10" s="34"/>
      <c r="CEK10" s="34"/>
      <c r="CEL10" s="34"/>
      <c r="CEM10" s="34"/>
      <c r="CEN10" s="34"/>
      <c r="CEO10" s="34"/>
      <c r="CEP10" s="34"/>
      <c r="CEQ10" s="34"/>
      <c r="CER10" s="34"/>
      <c r="CES10" s="34"/>
      <c r="CET10" s="34"/>
      <c r="CEU10" s="34"/>
      <c r="CEV10" s="34"/>
      <c r="CEW10" s="34"/>
      <c r="CEX10" s="34"/>
      <c r="CEY10" s="34"/>
      <c r="CEZ10" s="34"/>
      <c r="CFA10" s="34"/>
      <c r="CFB10" s="34"/>
      <c r="CFC10" s="34"/>
      <c r="CFD10" s="34"/>
      <c r="CFE10" s="34"/>
      <c r="CFF10" s="34"/>
      <c r="CFG10" s="34"/>
      <c r="CFH10" s="34"/>
      <c r="CFI10" s="34"/>
      <c r="CFJ10" s="34"/>
      <c r="CFK10" s="34"/>
      <c r="CFL10" s="34"/>
      <c r="CFM10" s="34"/>
      <c r="CFN10" s="34"/>
      <c r="CFO10" s="34"/>
      <c r="CFP10" s="34"/>
      <c r="CFQ10" s="34"/>
      <c r="CFR10" s="34"/>
      <c r="CFS10" s="34"/>
      <c r="CFT10" s="34"/>
      <c r="CFU10" s="34"/>
      <c r="CFV10" s="34"/>
      <c r="CFW10" s="34"/>
      <c r="CFX10" s="34"/>
      <c r="CFY10" s="34"/>
      <c r="CFZ10" s="34"/>
      <c r="CGA10" s="34"/>
      <c r="CGB10" s="34"/>
      <c r="CGC10" s="34"/>
      <c r="CGD10" s="34"/>
      <c r="CGE10" s="34"/>
      <c r="CGF10" s="34"/>
      <c r="CGG10" s="34"/>
      <c r="CGH10" s="34"/>
      <c r="CGI10" s="34"/>
      <c r="CGJ10" s="34"/>
      <c r="CGK10" s="34"/>
      <c r="CGL10" s="34"/>
      <c r="CGM10" s="34"/>
      <c r="CGN10" s="34"/>
      <c r="CGO10" s="34"/>
      <c r="CGP10" s="34"/>
      <c r="CGQ10" s="34"/>
      <c r="CGR10" s="34"/>
      <c r="CGS10" s="34"/>
      <c r="CGT10" s="34"/>
      <c r="CGU10" s="34"/>
      <c r="CGV10" s="34"/>
      <c r="CGW10" s="34"/>
      <c r="CGX10" s="34"/>
      <c r="CGY10" s="34"/>
      <c r="CGZ10" s="34"/>
      <c r="CHA10" s="34"/>
      <c r="CHB10" s="34"/>
      <c r="CHC10" s="34"/>
      <c r="CHD10" s="34"/>
      <c r="CHE10" s="34"/>
      <c r="CHF10" s="34"/>
      <c r="CHG10" s="34"/>
      <c r="CHH10" s="34"/>
      <c r="CHI10" s="34"/>
      <c r="CHJ10" s="34"/>
      <c r="CHK10" s="34"/>
      <c r="CHL10" s="34"/>
      <c r="CHM10" s="34"/>
      <c r="CHN10" s="34"/>
      <c r="CHO10" s="34"/>
      <c r="CHP10" s="34"/>
      <c r="CHQ10" s="34"/>
      <c r="CHR10" s="34"/>
      <c r="CHS10" s="34"/>
      <c r="CHT10" s="34"/>
      <c r="CHU10" s="34"/>
      <c r="CHV10" s="34"/>
      <c r="CHW10" s="34"/>
      <c r="CHX10" s="34"/>
      <c r="CHY10" s="34"/>
      <c r="CHZ10" s="34"/>
      <c r="CIA10" s="34"/>
      <c r="CIB10" s="34"/>
      <c r="CIC10" s="34"/>
      <c r="CID10" s="34"/>
      <c r="CIE10" s="34"/>
      <c r="CIF10" s="34"/>
      <c r="CIG10" s="34"/>
      <c r="CIH10" s="34"/>
      <c r="CII10" s="34"/>
      <c r="CIJ10" s="34"/>
      <c r="CIK10" s="34"/>
      <c r="CIL10" s="34"/>
      <c r="CIM10" s="34"/>
      <c r="CIN10" s="34"/>
      <c r="CIO10" s="34"/>
      <c r="CIP10" s="34"/>
      <c r="CIQ10" s="34"/>
      <c r="CIR10" s="34"/>
      <c r="CIS10" s="34"/>
      <c r="CIT10" s="34"/>
      <c r="CIU10" s="34"/>
      <c r="CIV10" s="34"/>
      <c r="CIW10" s="34"/>
      <c r="CIX10" s="34"/>
      <c r="CIY10" s="34"/>
      <c r="CIZ10" s="34"/>
      <c r="CJA10" s="34"/>
      <c r="CJB10" s="34"/>
      <c r="CJC10" s="34"/>
      <c r="CJD10" s="34"/>
      <c r="CJE10" s="34"/>
      <c r="CJF10" s="34"/>
      <c r="CJG10" s="34"/>
      <c r="CJH10" s="34"/>
      <c r="CJI10" s="34"/>
      <c r="CJJ10" s="34"/>
      <c r="CJK10" s="34"/>
      <c r="CJL10" s="34"/>
      <c r="CJM10" s="34"/>
      <c r="CJN10" s="34"/>
      <c r="CJO10" s="34"/>
      <c r="CJP10" s="34"/>
      <c r="CJQ10" s="34"/>
      <c r="CJR10" s="34"/>
      <c r="CJS10" s="34"/>
      <c r="CJT10" s="34"/>
      <c r="CJU10" s="34"/>
      <c r="CJV10" s="34"/>
      <c r="CJW10" s="34"/>
      <c r="CJX10" s="34"/>
      <c r="CJY10" s="34"/>
      <c r="CJZ10" s="34"/>
      <c r="CKA10" s="34"/>
      <c r="CKB10" s="34"/>
      <c r="CKC10" s="34"/>
      <c r="CKD10" s="34"/>
      <c r="CKE10" s="34"/>
      <c r="CKF10" s="34"/>
      <c r="CKG10" s="34"/>
      <c r="CKH10" s="34"/>
      <c r="CKI10" s="34"/>
      <c r="CKJ10" s="34"/>
      <c r="CKK10" s="34"/>
      <c r="CKL10" s="34"/>
      <c r="CKM10" s="34"/>
      <c r="CKN10" s="34"/>
      <c r="CKO10" s="34"/>
      <c r="CKP10" s="34"/>
      <c r="CKQ10" s="34"/>
      <c r="CKR10" s="34"/>
      <c r="CKS10" s="34"/>
      <c r="CKT10" s="34"/>
      <c r="CKU10" s="34"/>
      <c r="CKV10" s="34"/>
      <c r="CKW10" s="34"/>
      <c r="CKX10" s="34"/>
      <c r="CKY10" s="34"/>
      <c r="CKZ10" s="34"/>
      <c r="CLA10" s="34"/>
      <c r="CLB10" s="34"/>
      <c r="CLC10" s="34"/>
      <c r="CLD10" s="34"/>
      <c r="CLE10" s="34"/>
      <c r="CLF10" s="34"/>
      <c r="CLG10" s="34"/>
      <c r="CLH10" s="34"/>
      <c r="CLI10" s="34"/>
      <c r="CLJ10" s="34"/>
      <c r="CLK10" s="34"/>
      <c r="CLL10" s="34"/>
      <c r="CLM10" s="34"/>
      <c r="CLN10" s="34"/>
      <c r="CLO10" s="34"/>
      <c r="CLP10" s="34"/>
      <c r="CLQ10" s="34"/>
      <c r="CLR10" s="34"/>
      <c r="CLS10" s="34"/>
      <c r="CLT10" s="34"/>
      <c r="CLU10" s="34"/>
      <c r="CLV10" s="34"/>
      <c r="CLW10" s="34"/>
      <c r="CLX10" s="34"/>
      <c r="CLY10" s="34"/>
      <c r="CLZ10" s="34"/>
      <c r="CMA10" s="34"/>
      <c r="CMB10" s="34"/>
      <c r="CMC10" s="34"/>
      <c r="CMD10" s="34"/>
      <c r="CME10" s="34"/>
      <c r="CMF10" s="34"/>
      <c r="CMG10" s="34"/>
      <c r="CMH10" s="34"/>
      <c r="CMI10" s="34"/>
      <c r="CMJ10" s="34"/>
      <c r="CMK10" s="34"/>
      <c r="CML10" s="34"/>
      <c r="CMM10" s="34"/>
      <c r="CMN10" s="34"/>
      <c r="CMO10" s="34"/>
      <c r="CMP10" s="34"/>
      <c r="CMQ10" s="34"/>
      <c r="CMR10" s="34"/>
      <c r="CMS10" s="34"/>
      <c r="CMT10" s="34"/>
      <c r="CMU10" s="34"/>
      <c r="CMV10" s="34"/>
      <c r="CMW10" s="34"/>
      <c r="CMX10" s="34"/>
      <c r="CMY10" s="34"/>
      <c r="CMZ10" s="34"/>
      <c r="CNA10" s="34"/>
      <c r="CNB10" s="34"/>
      <c r="CNC10" s="34"/>
      <c r="CND10" s="34"/>
      <c r="CNE10" s="34"/>
      <c r="CNF10" s="34"/>
      <c r="CNG10" s="34"/>
      <c r="CNH10" s="34"/>
      <c r="CNI10" s="34"/>
      <c r="CNJ10" s="34"/>
      <c r="CNK10" s="34"/>
      <c r="CNL10" s="34"/>
      <c r="CNM10" s="34"/>
      <c r="CNN10" s="34"/>
      <c r="CNO10" s="34"/>
      <c r="CNP10" s="34"/>
      <c r="CNQ10" s="34"/>
      <c r="CNR10" s="34"/>
      <c r="CNS10" s="34"/>
      <c r="CNT10" s="34"/>
      <c r="CNU10" s="34"/>
      <c r="CNV10" s="34"/>
      <c r="CNW10" s="34"/>
      <c r="CNX10" s="34"/>
      <c r="CNY10" s="34"/>
      <c r="CNZ10" s="34"/>
      <c r="COA10" s="34"/>
      <c r="COB10" s="34"/>
      <c r="COC10" s="34"/>
      <c r="COD10" s="34"/>
      <c r="COE10" s="34"/>
      <c r="COF10" s="34"/>
      <c r="COG10" s="34"/>
      <c r="COH10" s="34"/>
      <c r="COI10" s="34"/>
      <c r="COJ10" s="34"/>
      <c r="COK10" s="34"/>
      <c r="COL10" s="34"/>
      <c r="COM10" s="34"/>
      <c r="CON10" s="34"/>
      <c r="COO10" s="34"/>
      <c r="COP10" s="34"/>
      <c r="COQ10" s="34"/>
      <c r="COR10" s="34"/>
      <c r="COS10" s="34"/>
      <c r="COT10" s="34"/>
      <c r="COU10" s="34"/>
      <c r="COV10" s="34"/>
      <c r="COW10" s="34"/>
      <c r="COX10" s="34"/>
      <c r="COY10" s="34"/>
      <c r="COZ10" s="34"/>
      <c r="CPA10" s="34"/>
      <c r="CPB10" s="34"/>
      <c r="CPC10" s="34"/>
      <c r="CPD10" s="34"/>
      <c r="CPE10" s="34"/>
      <c r="CPF10" s="34"/>
      <c r="CPG10" s="34"/>
      <c r="CPH10" s="34"/>
      <c r="CPI10" s="34"/>
      <c r="CPJ10" s="34"/>
      <c r="CPK10" s="34"/>
      <c r="CPL10" s="34"/>
      <c r="CPM10" s="34"/>
      <c r="CPN10" s="34"/>
      <c r="CPO10" s="34"/>
      <c r="CPP10" s="34"/>
      <c r="CPQ10" s="34"/>
      <c r="CPR10" s="34"/>
      <c r="CPS10" s="34"/>
      <c r="CPT10" s="34"/>
      <c r="CPU10" s="34"/>
      <c r="CPV10" s="34"/>
      <c r="CPW10" s="34"/>
      <c r="CPX10" s="34"/>
      <c r="CPY10" s="34"/>
      <c r="CPZ10" s="34"/>
      <c r="CQA10" s="34"/>
      <c r="CQB10" s="34"/>
      <c r="CQC10" s="34"/>
      <c r="CQD10" s="34"/>
      <c r="CQE10" s="34"/>
      <c r="CQF10" s="34"/>
      <c r="CQG10" s="34"/>
      <c r="CQH10" s="34"/>
      <c r="CQI10" s="34"/>
      <c r="CQJ10" s="34"/>
      <c r="CQK10" s="34"/>
      <c r="CQL10" s="34"/>
      <c r="CQM10" s="34"/>
      <c r="CQN10" s="34"/>
      <c r="CQO10" s="34"/>
      <c r="CQP10" s="34"/>
      <c r="CQQ10" s="34"/>
      <c r="CQR10" s="34"/>
      <c r="CQS10" s="34"/>
      <c r="CQT10" s="34"/>
      <c r="CQU10" s="34"/>
      <c r="CQV10" s="34"/>
      <c r="CQW10" s="34"/>
      <c r="CQX10" s="34"/>
      <c r="CQY10" s="34"/>
      <c r="CQZ10" s="34"/>
      <c r="CRA10" s="34"/>
      <c r="CRB10" s="34"/>
      <c r="CRC10" s="34"/>
      <c r="CRD10" s="34"/>
      <c r="CRE10" s="34"/>
      <c r="CRF10" s="34"/>
      <c r="CRG10" s="34"/>
      <c r="CRH10" s="34"/>
      <c r="CRI10" s="34"/>
      <c r="CRJ10" s="34"/>
      <c r="CRK10" s="34"/>
      <c r="CRL10" s="34"/>
      <c r="CRM10" s="34"/>
      <c r="CRN10" s="34"/>
      <c r="CRO10" s="34"/>
      <c r="CRP10" s="34"/>
      <c r="CRQ10" s="34"/>
      <c r="CRR10" s="34"/>
      <c r="CRS10" s="34"/>
      <c r="CRT10" s="34"/>
      <c r="CRU10" s="34"/>
      <c r="CRV10" s="34"/>
      <c r="CRW10" s="34"/>
      <c r="CRX10" s="34"/>
      <c r="CRY10" s="34"/>
      <c r="CRZ10" s="34"/>
      <c r="CSA10" s="34"/>
      <c r="CSB10" s="34"/>
      <c r="CSC10" s="34"/>
      <c r="CSD10" s="34"/>
      <c r="CSE10" s="34"/>
      <c r="CSF10" s="34"/>
      <c r="CSG10" s="34"/>
      <c r="CSH10" s="34"/>
      <c r="CSI10" s="34"/>
      <c r="CSJ10" s="34"/>
      <c r="CSK10" s="34"/>
      <c r="CSL10" s="34"/>
      <c r="CSM10" s="34"/>
      <c r="CSN10" s="34"/>
      <c r="CSO10" s="34"/>
      <c r="CSP10" s="34"/>
      <c r="CSQ10" s="34"/>
      <c r="CSR10" s="34"/>
      <c r="CSS10" s="34"/>
      <c r="CST10" s="34"/>
      <c r="CSU10" s="34"/>
      <c r="CSV10" s="34"/>
      <c r="CSW10" s="34"/>
      <c r="CSX10" s="34"/>
      <c r="CSY10" s="34"/>
      <c r="CSZ10" s="34"/>
      <c r="CTA10" s="34"/>
      <c r="CTB10" s="34"/>
      <c r="CTC10" s="34"/>
      <c r="CTD10" s="34"/>
      <c r="CTE10" s="34"/>
      <c r="CTF10" s="34"/>
      <c r="CTG10" s="34"/>
      <c r="CTH10" s="34"/>
      <c r="CTI10" s="34"/>
      <c r="CTJ10" s="34"/>
      <c r="CTK10" s="34"/>
      <c r="CTL10" s="34"/>
      <c r="CTM10" s="34"/>
      <c r="CTN10" s="34"/>
      <c r="CTO10" s="34"/>
      <c r="CTP10" s="34"/>
      <c r="CTQ10" s="34"/>
      <c r="CTR10" s="34"/>
      <c r="CTS10" s="34"/>
      <c r="CTT10" s="34"/>
      <c r="CTU10" s="34"/>
      <c r="CTV10" s="34"/>
      <c r="CTW10" s="34"/>
      <c r="CTX10" s="34"/>
      <c r="CTY10" s="34"/>
      <c r="CTZ10" s="34"/>
      <c r="CUA10" s="34"/>
      <c r="CUB10" s="34"/>
      <c r="CUC10" s="34"/>
      <c r="CUD10" s="34"/>
      <c r="CUE10" s="34"/>
      <c r="CUF10" s="34"/>
      <c r="CUG10" s="34"/>
      <c r="CUH10" s="34"/>
      <c r="CUI10" s="34"/>
      <c r="CUJ10" s="34"/>
      <c r="CUK10" s="34"/>
      <c r="CUL10" s="34"/>
      <c r="CUM10" s="34"/>
      <c r="CUN10" s="34"/>
      <c r="CUO10" s="34"/>
      <c r="CUP10" s="34"/>
      <c r="CUQ10" s="34"/>
      <c r="CUR10" s="34"/>
      <c r="CUS10" s="34"/>
      <c r="CUT10" s="34"/>
      <c r="CUU10" s="34"/>
      <c r="CUV10" s="34"/>
      <c r="CUW10" s="34"/>
      <c r="CUX10" s="34"/>
      <c r="CUY10" s="34"/>
      <c r="CUZ10" s="34"/>
      <c r="CVA10" s="34"/>
      <c r="CVB10" s="34"/>
      <c r="CVC10" s="34"/>
      <c r="CVD10" s="34"/>
      <c r="CVE10" s="34"/>
      <c r="CVF10" s="34"/>
      <c r="CVG10" s="34"/>
      <c r="CVH10" s="34"/>
      <c r="CVI10" s="34"/>
      <c r="CVJ10" s="34"/>
      <c r="CVK10" s="34"/>
      <c r="CVL10" s="34"/>
      <c r="CVM10" s="34"/>
      <c r="CVN10" s="34"/>
      <c r="CVO10" s="34"/>
      <c r="CVP10" s="34"/>
      <c r="CVQ10" s="34"/>
      <c r="CVR10" s="34"/>
      <c r="CVS10" s="34"/>
      <c r="CVT10" s="34"/>
      <c r="CVU10" s="34"/>
      <c r="CVV10" s="34"/>
      <c r="CVW10" s="34"/>
      <c r="CVX10" s="34"/>
      <c r="CVY10" s="34"/>
      <c r="CVZ10" s="34"/>
      <c r="CWA10" s="34"/>
      <c r="CWB10" s="34"/>
      <c r="CWC10" s="34"/>
      <c r="CWD10" s="34"/>
      <c r="CWE10" s="34"/>
      <c r="CWF10" s="34"/>
      <c r="CWG10" s="34"/>
      <c r="CWH10" s="34"/>
      <c r="CWI10" s="34"/>
      <c r="CWJ10" s="34"/>
      <c r="CWK10" s="34"/>
      <c r="CWL10" s="34"/>
      <c r="CWM10" s="34"/>
      <c r="CWN10" s="34"/>
      <c r="CWO10" s="34"/>
      <c r="CWP10" s="34"/>
      <c r="CWQ10" s="34"/>
      <c r="CWR10" s="34"/>
      <c r="CWS10" s="34"/>
      <c r="CWT10" s="34"/>
      <c r="CWU10" s="34"/>
      <c r="CWV10" s="34"/>
      <c r="CWW10" s="34"/>
      <c r="CWX10" s="34"/>
      <c r="CWY10" s="34"/>
      <c r="CWZ10" s="34"/>
      <c r="CXA10" s="34"/>
      <c r="CXB10" s="34"/>
      <c r="CXC10" s="34"/>
      <c r="CXD10" s="34"/>
      <c r="CXE10" s="34"/>
      <c r="CXF10" s="34"/>
      <c r="CXG10" s="34"/>
      <c r="CXH10" s="34"/>
      <c r="CXI10" s="34"/>
      <c r="CXJ10" s="34"/>
      <c r="CXK10" s="34"/>
      <c r="CXL10" s="34"/>
      <c r="CXM10" s="34"/>
      <c r="CXN10" s="34"/>
      <c r="CXO10" s="34"/>
      <c r="CXP10" s="34"/>
      <c r="CXQ10" s="34"/>
      <c r="CXR10" s="34"/>
      <c r="CXS10" s="34"/>
      <c r="CXT10" s="34"/>
      <c r="CXU10" s="34"/>
      <c r="CXV10" s="34"/>
      <c r="CXW10" s="34"/>
      <c r="CXX10" s="34"/>
      <c r="CXY10" s="34"/>
      <c r="CXZ10" s="34"/>
      <c r="CYA10" s="34"/>
      <c r="CYB10" s="34"/>
      <c r="CYC10" s="34"/>
      <c r="CYD10" s="34"/>
      <c r="CYE10" s="34"/>
      <c r="CYF10" s="34"/>
      <c r="CYG10" s="34"/>
      <c r="CYH10" s="34"/>
      <c r="CYI10" s="34"/>
      <c r="CYJ10" s="34"/>
      <c r="CYK10" s="34"/>
      <c r="CYL10" s="34"/>
      <c r="CYM10" s="34"/>
      <c r="CYN10" s="34"/>
      <c r="CYO10" s="34"/>
      <c r="CYP10" s="34"/>
      <c r="CYQ10" s="34"/>
      <c r="CYR10" s="34"/>
      <c r="CYS10" s="34"/>
      <c r="CYT10" s="34"/>
      <c r="CYU10" s="34"/>
      <c r="CYV10" s="34"/>
      <c r="CYW10" s="34"/>
      <c r="CYX10" s="34"/>
      <c r="CYY10" s="34"/>
      <c r="CYZ10" s="34"/>
      <c r="CZA10" s="34"/>
      <c r="CZB10" s="34"/>
      <c r="CZC10" s="34"/>
      <c r="CZD10" s="34"/>
      <c r="CZE10" s="34"/>
      <c r="CZF10" s="34"/>
      <c r="CZG10" s="34"/>
      <c r="CZH10" s="34"/>
      <c r="CZI10" s="34"/>
      <c r="CZJ10" s="34"/>
      <c r="CZK10" s="34"/>
      <c r="CZL10" s="34"/>
      <c r="CZM10" s="34"/>
      <c r="CZN10" s="34"/>
      <c r="CZO10" s="34"/>
      <c r="CZP10" s="34"/>
      <c r="CZQ10" s="34"/>
      <c r="CZR10" s="34"/>
      <c r="CZS10" s="34"/>
      <c r="CZT10" s="34"/>
      <c r="CZU10" s="34"/>
      <c r="CZV10" s="34"/>
      <c r="CZW10" s="34"/>
      <c r="CZX10" s="34"/>
      <c r="CZY10" s="34"/>
      <c r="CZZ10" s="34"/>
      <c r="DAA10" s="34"/>
      <c r="DAB10" s="34"/>
      <c r="DAC10" s="34"/>
      <c r="DAD10" s="34"/>
      <c r="DAE10" s="34"/>
      <c r="DAF10" s="34"/>
      <c r="DAG10" s="34"/>
      <c r="DAH10" s="34"/>
      <c r="DAI10" s="34"/>
      <c r="DAJ10" s="34"/>
      <c r="DAK10" s="34"/>
      <c r="DAL10" s="34"/>
      <c r="DAM10" s="34"/>
      <c r="DAN10" s="34"/>
      <c r="DAO10" s="34"/>
      <c r="DAP10" s="34"/>
      <c r="DAQ10" s="34"/>
      <c r="DAR10" s="34"/>
      <c r="DAS10" s="34"/>
      <c r="DAT10" s="34"/>
      <c r="DAU10" s="34"/>
      <c r="DAV10" s="34"/>
      <c r="DAW10" s="34"/>
      <c r="DAX10" s="34"/>
      <c r="DAY10" s="34"/>
      <c r="DAZ10" s="34"/>
      <c r="DBA10" s="34"/>
      <c r="DBB10" s="34"/>
      <c r="DBC10" s="34"/>
      <c r="DBD10" s="34"/>
      <c r="DBE10" s="34"/>
      <c r="DBF10" s="34"/>
      <c r="DBG10" s="34"/>
      <c r="DBH10" s="34"/>
      <c r="DBI10" s="34"/>
      <c r="DBJ10" s="34"/>
      <c r="DBK10" s="34"/>
      <c r="DBL10" s="34"/>
      <c r="DBM10" s="34"/>
      <c r="DBN10" s="34"/>
      <c r="DBO10" s="34"/>
      <c r="DBP10" s="34"/>
      <c r="DBQ10" s="34"/>
      <c r="DBR10" s="34"/>
      <c r="DBS10" s="34"/>
      <c r="DBT10" s="34"/>
      <c r="DBU10" s="34"/>
      <c r="DBV10" s="34"/>
      <c r="DBW10" s="34"/>
      <c r="DBX10" s="34"/>
      <c r="DBY10" s="34"/>
      <c r="DBZ10" s="34"/>
      <c r="DCA10" s="34"/>
      <c r="DCB10" s="34"/>
      <c r="DCC10" s="34"/>
      <c r="DCD10" s="34"/>
      <c r="DCE10" s="34"/>
      <c r="DCF10" s="34"/>
      <c r="DCG10" s="34"/>
      <c r="DCH10" s="34"/>
      <c r="DCI10" s="34"/>
      <c r="DCJ10" s="34"/>
      <c r="DCK10" s="34"/>
      <c r="DCL10" s="34"/>
      <c r="DCM10" s="34"/>
      <c r="DCN10" s="34"/>
      <c r="DCO10" s="34"/>
      <c r="DCP10" s="34"/>
      <c r="DCQ10" s="34"/>
      <c r="DCR10" s="34"/>
      <c r="DCS10" s="34"/>
      <c r="DCT10" s="34"/>
      <c r="DCU10" s="34"/>
      <c r="DCV10" s="34"/>
      <c r="DCW10" s="34"/>
      <c r="DCX10" s="34"/>
      <c r="DCY10" s="34"/>
      <c r="DCZ10" s="34"/>
      <c r="DDA10" s="34"/>
      <c r="DDB10" s="34"/>
      <c r="DDC10" s="34"/>
      <c r="DDD10" s="34"/>
      <c r="DDE10" s="34"/>
      <c r="DDF10" s="34"/>
      <c r="DDG10" s="34"/>
      <c r="DDH10" s="34"/>
      <c r="DDI10" s="34"/>
      <c r="DDJ10" s="34"/>
      <c r="DDK10" s="34"/>
      <c r="DDL10" s="34"/>
      <c r="DDM10" s="34"/>
      <c r="DDN10" s="34"/>
      <c r="DDO10" s="34"/>
      <c r="DDP10" s="34"/>
      <c r="DDQ10" s="34"/>
      <c r="DDR10" s="34"/>
      <c r="DDS10" s="34"/>
      <c r="DDT10" s="34"/>
      <c r="DDU10" s="34"/>
      <c r="DDV10" s="34"/>
      <c r="DDW10" s="34"/>
      <c r="DDX10" s="34"/>
      <c r="DDY10" s="34"/>
      <c r="DDZ10" s="34"/>
      <c r="DEA10" s="34"/>
      <c r="DEB10" s="34"/>
      <c r="DEC10" s="34"/>
      <c r="DED10" s="34"/>
      <c r="DEE10" s="34"/>
      <c r="DEF10" s="34"/>
      <c r="DEG10" s="34"/>
      <c r="DEH10" s="34"/>
      <c r="DEI10" s="34"/>
      <c r="DEJ10" s="34"/>
      <c r="DEK10" s="34"/>
      <c r="DEL10" s="34"/>
      <c r="DEM10" s="34"/>
      <c r="DEN10" s="34"/>
      <c r="DEO10" s="34"/>
      <c r="DEP10" s="34"/>
      <c r="DEQ10" s="34"/>
      <c r="DER10" s="34"/>
      <c r="DES10" s="34"/>
      <c r="DET10" s="34"/>
      <c r="DEU10" s="34"/>
      <c r="DEV10" s="34"/>
      <c r="DEW10" s="34"/>
      <c r="DEX10" s="34"/>
      <c r="DEY10" s="34"/>
      <c r="DEZ10" s="34"/>
      <c r="DFA10" s="34"/>
      <c r="DFB10" s="34"/>
      <c r="DFC10" s="34"/>
      <c r="DFD10" s="34"/>
      <c r="DFE10" s="34"/>
      <c r="DFF10" s="34"/>
      <c r="DFG10" s="34"/>
      <c r="DFH10" s="34"/>
      <c r="DFI10" s="34"/>
      <c r="DFJ10" s="34"/>
      <c r="DFK10" s="34"/>
      <c r="DFL10" s="34"/>
      <c r="DFM10" s="34"/>
      <c r="DFN10" s="34"/>
      <c r="DFO10" s="34"/>
      <c r="DFP10" s="34"/>
      <c r="DFQ10" s="34"/>
      <c r="DFR10" s="34"/>
      <c r="DFS10" s="34"/>
      <c r="DFT10" s="34"/>
      <c r="DFU10" s="34"/>
      <c r="DFV10" s="34"/>
      <c r="DFW10" s="34"/>
      <c r="DFX10" s="34"/>
      <c r="DFY10" s="34"/>
      <c r="DFZ10" s="34"/>
      <c r="DGA10" s="34"/>
      <c r="DGB10" s="34"/>
      <c r="DGC10" s="34"/>
      <c r="DGD10" s="34"/>
      <c r="DGE10" s="34"/>
      <c r="DGF10" s="34"/>
      <c r="DGG10" s="34"/>
      <c r="DGH10" s="34"/>
      <c r="DGI10" s="34"/>
      <c r="DGJ10" s="34"/>
      <c r="DGK10" s="34"/>
      <c r="DGL10" s="34"/>
      <c r="DGM10" s="34"/>
      <c r="DGN10" s="34"/>
      <c r="DGO10" s="34"/>
      <c r="DGP10" s="34"/>
      <c r="DGQ10" s="34"/>
      <c r="DGR10" s="34"/>
      <c r="DGS10" s="34"/>
      <c r="DGT10" s="34"/>
      <c r="DGU10" s="34"/>
      <c r="DGV10" s="34"/>
      <c r="DGW10" s="34"/>
      <c r="DGX10" s="34"/>
      <c r="DGY10" s="34"/>
      <c r="DGZ10" s="34"/>
      <c r="DHA10" s="34"/>
      <c r="DHB10" s="34"/>
      <c r="DHC10" s="34"/>
      <c r="DHD10" s="34"/>
      <c r="DHE10" s="34"/>
      <c r="DHF10" s="34"/>
      <c r="DHG10" s="34"/>
      <c r="DHH10" s="34"/>
      <c r="DHI10" s="34"/>
      <c r="DHJ10" s="34"/>
      <c r="DHK10" s="34"/>
      <c r="DHL10" s="34"/>
      <c r="DHM10" s="34"/>
      <c r="DHN10" s="34"/>
      <c r="DHO10" s="34"/>
      <c r="DHP10" s="34"/>
      <c r="DHQ10" s="34"/>
      <c r="DHR10" s="34"/>
      <c r="DHS10" s="34"/>
      <c r="DHT10" s="34"/>
      <c r="DHU10" s="34"/>
      <c r="DHV10" s="34"/>
    </row>
    <row r="11" spans="1:2934" s="179" customFormat="1" ht="25.5" customHeight="1" x14ac:dyDescent="0.35">
      <c r="A11" s="167">
        <v>6</v>
      </c>
      <c r="B11" s="176" t="s">
        <v>120</v>
      </c>
      <c r="C11" s="169">
        <v>2000</v>
      </c>
      <c r="D11" s="44">
        <v>1</v>
      </c>
      <c r="E11" s="44">
        <v>1.5</v>
      </c>
      <c r="F11" s="44">
        <v>2.5</v>
      </c>
      <c r="G11" s="44">
        <v>1.5</v>
      </c>
      <c r="H11" s="44">
        <v>1.5</v>
      </c>
      <c r="I11" s="44">
        <v>1.5</v>
      </c>
      <c r="J11" s="44">
        <v>0</v>
      </c>
      <c r="K11" s="44">
        <v>0</v>
      </c>
      <c r="L11" s="44">
        <v>0</v>
      </c>
      <c r="M11" s="44">
        <v>0</v>
      </c>
      <c r="N11" s="44">
        <v>1.5</v>
      </c>
      <c r="O11" s="44">
        <v>1.5</v>
      </c>
      <c r="P11" s="44">
        <v>1.5</v>
      </c>
      <c r="Q11" s="44">
        <v>1.5</v>
      </c>
      <c r="R11" s="44">
        <v>1.5</v>
      </c>
      <c r="S11" s="44">
        <v>1.5</v>
      </c>
      <c r="T11" s="44">
        <v>2.5</v>
      </c>
      <c r="U11" s="44">
        <v>1.5</v>
      </c>
      <c r="V11" s="44">
        <v>1</v>
      </c>
      <c r="W11" s="44">
        <v>1.5</v>
      </c>
      <c r="X11" s="44">
        <v>1.5</v>
      </c>
      <c r="Y11" s="44">
        <v>1.5</v>
      </c>
      <c r="Z11" s="44">
        <v>0.5</v>
      </c>
      <c r="AA11" s="44">
        <v>0</v>
      </c>
      <c r="AB11" s="44">
        <v>1.5</v>
      </c>
      <c r="AC11" s="44">
        <v>1</v>
      </c>
      <c r="AD11" s="44">
        <v>0.5</v>
      </c>
      <c r="AE11" s="44">
        <v>1.5</v>
      </c>
      <c r="AF11" s="44">
        <v>1</v>
      </c>
      <c r="AG11" s="44">
        <v>0.5</v>
      </c>
      <c r="AH11" s="44"/>
      <c r="AI11" s="169">
        <f t="shared" si="0"/>
        <v>34.5</v>
      </c>
      <c r="AJ11" s="170">
        <v>44445</v>
      </c>
      <c r="AK11" s="171">
        <v>20</v>
      </c>
      <c r="AL11" s="172"/>
      <c r="AM11" s="173">
        <f>AI11*AL6</f>
        <v>1809.2828947368421</v>
      </c>
      <c r="AN11" s="174">
        <f t="shared" si="1"/>
        <v>190.71710526315792</v>
      </c>
      <c r="AO11" s="177"/>
      <c r="AP11" s="178"/>
      <c r="AQ11" s="178"/>
      <c r="AR11" s="178"/>
      <c r="AS11" s="178"/>
      <c r="AT11" s="178"/>
      <c r="AU11" s="178"/>
      <c r="AV11" s="178"/>
      <c r="AW11" s="178"/>
      <c r="AX11" s="178"/>
      <c r="AY11" s="178"/>
      <c r="AZ11" s="178"/>
      <c r="BA11" s="178"/>
      <c r="BB11" s="178"/>
      <c r="BC11" s="178"/>
      <c r="BD11" s="178"/>
      <c r="BE11" s="178"/>
      <c r="BF11" s="178"/>
      <c r="BG11" s="178"/>
      <c r="BH11" s="178"/>
      <c r="BI11" s="178"/>
      <c r="BJ11" s="178"/>
      <c r="BK11" s="178"/>
      <c r="BL11" s="178"/>
      <c r="BM11" s="178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  <c r="CL11" s="178"/>
      <c r="CM11" s="178"/>
      <c r="CN11" s="178"/>
      <c r="CO11" s="178"/>
      <c r="CP11" s="178"/>
      <c r="CQ11" s="178"/>
      <c r="CR11" s="178"/>
      <c r="CS11" s="178"/>
      <c r="CT11" s="178"/>
      <c r="CU11" s="178"/>
      <c r="CV11" s="178"/>
      <c r="CW11" s="178"/>
      <c r="CX11" s="178"/>
      <c r="CY11" s="178"/>
      <c r="CZ11" s="178"/>
      <c r="DA11" s="178"/>
      <c r="DB11" s="178"/>
      <c r="DC11" s="178"/>
      <c r="DD11" s="178"/>
      <c r="DE11" s="178"/>
      <c r="DF11" s="178"/>
      <c r="DG11" s="178"/>
      <c r="DH11" s="178"/>
      <c r="DI11" s="178"/>
      <c r="DJ11" s="178"/>
      <c r="DK11" s="178"/>
      <c r="DL11" s="178"/>
      <c r="DM11" s="178"/>
      <c r="DN11" s="178"/>
      <c r="DO11" s="178"/>
      <c r="DP11" s="178"/>
      <c r="DQ11" s="178"/>
      <c r="DR11" s="178"/>
      <c r="DS11" s="178"/>
      <c r="DT11" s="178"/>
      <c r="DU11" s="178"/>
      <c r="DV11" s="178"/>
      <c r="DW11" s="178"/>
      <c r="DX11" s="178"/>
      <c r="DY11" s="178"/>
      <c r="DZ11" s="178"/>
      <c r="EA11" s="178"/>
      <c r="EB11" s="178"/>
      <c r="EC11" s="178"/>
      <c r="ED11" s="178"/>
      <c r="EE11" s="178"/>
      <c r="EF11" s="178"/>
      <c r="EG11" s="178"/>
      <c r="EH11" s="178"/>
      <c r="EI11" s="178"/>
      <c r="EJ11" s="178"/>
      <c r="EK11" s="178"/>
      <c r="EL11" s="178"/>
      <c r="EM11" s="178"/>
      <c r="EN11" s="178"/>
      <c r="EO11" s="178"/>
      <c r="EP11" s="178"/>
      <c r="EQ11" s="178"/>
      <c r="ER11" s="178"/>
      <c r="ES11" s="178"/>
      <c r="ET11" s="178"/>
      <c r="EU11" s="178"/>
      <c r="EV11" s="178"/>
      <c r="EW11" s="178"/>
      <c r="EX11" s="178"/>
      <c r="EY11" s="178"/>
      <c r="EZ11" s="178"/>
      <c r="FA11" s="178"/>
      <c r="FB11" s="178"/>
      <c r="FC11" s="178"/>
      <c r="FD11" s="178"/>
      <c r="FE11" s="178"/>
      <c r="FF11" s="178"/>
      <c r="FG11" s="178"/>
      <c r="FH11" s="178"/>
      <c r="FI11" s="178"/>
      <c r="FJ11" s="178"/>
      <c r="FK11" s="178"/>
      <c r="FL11" s="178"/>
      <c r="FM11" s="178"/>
      <c r="FN11" s="178"/>
      <c r="FO11" s="178"/>
      <c r="FP11" s="178"/>
      <c r="FQ11" s="178"/>
      <c r="FR11" s="178"/>
      <c r="FS11" s="178"/>
      <c r="FT11" s="178"/>
      <c r="FU11" s="178"/>
      <c r="FV11" s="178"/>
      <c r="FW11" s="178"/>
      <c r="FX11" s="178"/>
      <c r="FY11" s="178"/>
      <c r="FZ11" s="178"/>
      <c r="GA11" s="178"/>
      <c r="GB11" s="178"/>
      <c r="GC11" s="178"/>
      <c r="GD11" s="178"/>
      <c r="GE11" s="178"/>
      <c r="GF11" s="178"/>
      <c r="GG11" s="178"/>
      <c r="GH11" s="178"/>
      <c r="GI11" s="178"/>
      <c r="GJ11" s="178"/>
      <c r="GK11" s="178"/>
      <c r="GL11" s="178"/>
      <c r="GM11" s="178"/>
      <c r="GN11" s="178"/>
      <c r="GO11" s="178"/>
      <c r="GP11" s="178"/>
      <c r="GQ11" s="178"/>
      <c r="GR11" s="178"/>
      <c r="GS11" s="178"/>
      <c r="GT11" s="178"/>
      <c r="GU11" s="178"/>
      <c r="GV11" s="178"/>
      <c r="GW11" s="178"/>
      <c r="GX11" s="178"/>
      <c r="GY11" s="178"/>
      <c r="GZ11" s="178"/>
      <c r="HA11" s="178"/>
      <c r="HB11" s="178"/>
      <c r="HC11" s="178"/>
      <c r="HD11" s="178"/>
      <c r="HE11" s="178"/>
      <c r="HF11" s="178"/>
      <c r="HG11" s="178"/>
      <c r="HH11" s="178"/>
      <c r="HI11" s="178"/>
      <c r="HJ11" s="178"/>
      <c r="HK11" s="178"/>
      <c r="HL11" s="178"/>
      <c r="HM11" s="178"/>
      <c r="HN11" s="178"/>
      <c r="HO11" s="178"/>
      <c r="HP11" s="178"/>
      <c r="HQ11" s="178"/>
      <c r="HR11" s="178"/>
      <c r="HS11" s="178"/>
      <c r="HT11" s="178"/>
      <c r="HU11" s="178"/>
      <c r="HV11" s="178"/>
      <c r="HW11" s="178"/>
      <c r="HX11" s="178"/>
      <c r="HY11" s="178"/>
      <c r="HZ11" s="178"/>
      <c r="IA11" s="178"/>
      <c r="IB11" s="178"/>
      <c r="IC11" s="178"/>
      <c r="ID11" s="178"/>
      <c r="IE11" s="178"/>
      <c r="IF11" s="178"/>
      <c r="IG11" s="178"/>
      <c r="IH11" s="178"/>
      <c r="II11" s="178"/>
      <c r="IJ11" s="178"/>
      <c r="IK11" s="178"/>
      <c r="IL11" s="178"/>
      <c r="IM11" s="178"/>
      <c r="IN11" s="178"/>
      <c r="IO11" s="178"/>
      <c r="IP11" s="178"/>
      <c r="IQ11" s="178"/>
      <c r="IR11" s="178"/>
      <c r="IS11" s="178"/>
      <c r="IT11" s="178"/>
      <c r="IU11" s="178"/>
      <c r="IV11" s="178"/>
      <c r="IW11" s="178"/>
      <c r="IX11" s="178"/>
      <c r="IY11" s="178"/>
      <c r="IZ11" s="178"/>
      <c r="JA11" s="178"/>
      <c r="JB11" s="178"/>
      <c r="JC11" s="178"/>
      <c r="JD11" s="178"/>
      <c r="JE11" s="178"/>
      <c r="JF11" s="178"/>
      <c r="JG11" s="178"/>
      <c r="JH11" s="178"/>
      <c r="JI11" s="178"/>
      <c r="JJ11" s="178"/>
      <c r="JK11" s="178"/>
      <c r="JL11" s="178"/>
      <c r="JM11" s="178"/>
      <c r="JN11" s="178"/>
      <c r="JO11" s="178"/>
      <c r="JP11" s="178"/>
      <c r="JQ11" s="178"/>
      <c r="JR11" s="178"/>
      <c r="JS11" s="178"/>
      <c r="JT11" s="178"/>
      <c r="JU11" s="178"/>
      <c r="JV11" s="178"/>
      <c r="JW11" s="178"/>
      <c r="JX11" s="178"/>
      <c r="JY11" s="178"/>
      <c r="JZ11" s="178"/>
      <c r="KA11" s="178"/>
      <c r="KB11" s="178"/>
      <c r="KC11" s="178"/>
      <c r="KD11" s="178"/>
      <c r="KE11" s="178"/>
      <c r="KF11" s="178"/>
      <c r="KG11" s="178"/>
      <c r="KH11" s="178"/>
      <c r="KI11" s="178"/>
      <c r="KJ11" s="178"/>
      <c r="KK11" s="178"/>
      <c r="KL11" s="178"/>
      <c r="KM11" s="178"/>
      <c r="KN11" s="178"/>
      <c r="KO11" s="178"/>
      <c r="KP11" s="178"/>
      <c r="KQ11" s="178"/>
      <c r="KR11" s="178"/>
      <c r="KS11" s="178"/>
      <c r="KT11" s="178"/>
      <c r="KU11" s="178"/>
      <c r="KV11" s="178"/>
      <c r="KW11" s="178"/>
      <c r="KX11" s="178"/>
      <c r="KY11" s="178"/>
      <c r="KZ11" s="178"/>
      <c r="LA11" s="178"/>
      <c r="LB11" s="178"/>
      <c r="LC11" s="178"/>
      <c r="LD11" s="178"/>
      <c r="LE11" s="178"/>
      <c r="LF11" s="178"/>
      <c r="LG11" s="178"/>
      <c r="LH11" s="178"/>
      <c r="LI11" s="178"/>
      <c r="LJ11" s="178"/>
      <c r="LK11" s="178"/>
      <c r="LL11" s="178"/>
      <c r="LM11" s="178"/>
      <c r="LN11" s="178"/>
      <c r="LO11" s="178"/>
      <c r="LP11" s="178"/>
      <c r="LQ11" s="178"/>
      <c r="LR11" s="178"/>
      <c r="LS11" s="178"/>
      <c r="LT11" s="178"/>
      <c r="LU11" s="178"/>
      <c r="LV11" s="178"/>
      <c r="LW11" s="178"/>
      <c r="LX11" s="178"/>
      <c r="LY11" s="178"/>
      <c r="LZ11" s="178"/>
      <c r="MA11" s="178"/>
      <c r="MB11" s="178"/>
      <c r="MC11" s="178"/>
      <c r="MD11" s="178"/>
      <c r="ME11" s="178"/>
      <c r="MF11" s="178"/>
      <c r="MG11" s="178"/>
      <c r="MH11" s="178"/>
      <c r="MI11" s="178"/>
      <c r="MJ11" s="178"/>
      <c r="MK11" s="178"/>
      <c r="ML11" s="178"/>
      <c r="MM11" s="178"/>
      <c r="MN11" s="178"/>
      <c r="MO11" s="178"/>
      <c r="MP11" s="178"/>
      <c r="MQ11" s="178"/>
      <c r="MR11" s="178"/>
      <c r="MS11" s="178"/>
      <c r="MT11" s="178"/>
      <c r="MU11" s="178"/>
      <c r="MV11" s="178"/>
      <c r="MW11" s="178"/>
      <c r="MX11" s="178"/>
      <c r="MY11" s="178"/>
      <c r="MZ11" s="178"/>
      <c r="NA11" s="178"/>
      <c r="NB11" s="178"/>
      <c r="NC11" s="178"/>
      <c r="ND11" s="178"/>
      <c r="NE11" s="178"/>
      <c r="NF11" s="178"/>
      <c r="NG11" s="178"/>
      <c r="NH11" s="178"/>
      <c r="NI11" s="178"/>
      <c r="NJ11" s="178"/>
      <c r="NK11" s="178"/>
      <c r="NL11" s="178"/>
      <c r="NM11" s="178"/>
      <c r="NN11" s="178"/>
      <c r="NO11" s="178"/>
      <c r="NP11" s="178"/>
      <c r="NQ11" s="178"/>
      <c r="NR11" s="178"/>
      <c r="NS11" s="178"/>
      <c r="NT11" s="178"/>
      <c r="NU11" s="178"/>
      <c r="NV11" s="178"/>
      <c r="NW11" s="178"/>
      <c r="NX11" s="178"/>
      <c r="NY11" s="178"/>
      <c r="NZ11" s="178"/>
      <c r="OA11" s="178"/>
      <c r="OB11" s="178"/>
      <c r="OC11" s="178"/>
      <c r="OD11" s="178"/>
      <c r="OE11" s="178"/>
      <c r="OF11" s="178"/>
      <c r="OG11" s="178"/>
      <c r="OH11" s="178"/>
      <c r="OI11" s="178"/>
      <c r="OJ11" s="178"/>
      <c r="OK11" s="178"/>
      <c r="OL11" s="178"/>
      <c r="OM11" s="178"/>
      <c r="ON11" s="178"/>
      <c r="OO11" s="178"/>
      <c r="OP11" s="178"/>
      <c r="OQ11" s="178"/>
      <c r="OR11" s="178"/>
      <c r="OS11" s="178"/>
      <c r="OT11" s="178"/>
      <c r="OU11" s="178"/>
      <c r="OV11" s="178"/>
      <c r="OW11" s="178"/>
      <c r="OX11" s="178"/>
      <c r="OY11" s="178"/>
      <c r="OZ11" s="178"/>
      <c r="PA11" s="178"/>
      <c r="PB11" s="178"/>
      <c r="PC11" s="178"/>
      <c r="PD11" s="178"/>
      <c r="PE11" s="178"/>
      <c r="PF11" s="178"/>
      <c r="PG11" s="178"/>
      <c r="PH11" s="178"/>
      <c r="PI11" s="178"/>
      <c r="PJ11" s="178"/>
      <c r="PK11" s="178"/>
      <c r="PL11" s="178"/>
      <c r="PM11" s="178"/>
      <c r="PN11" s="178"/>
      <c r="PO11" s="178"/>
      <c r="PP11" s="178"/>
      <c r="PQ11" s="178"/>
      <c r="PR11" s="178"/>
      <c r="PS11" s="178"/>
      <c r="PT11" s="178"/>
      <c r="PU11" s="178"/>
      <c r="PV11" s="178"/>
      <c r="PW11" s="178"/>
      <c r="PX11" s="178"/>
      <c r="PY11" s="178"/>
      <c r="PZ11" s="178"/>
      <c r="QA11" s="178"/>
      <c r="QB11" s="178"/>
      <c r="QC11" s="178"/>
      <c r="QD11" s="178"/>
      <c r="QE11" s="178"/>
      <c r="QF11" s="178"/>
      <c r="QG11" s="178"/>
      <c r="QH11" s="178"/>
      <c r="QI11" s="178"/>
      <c r="QJ11" s="178"/>
      <c r="QK11" s="178"/>
      <c r="QL11" s="178"/>
      <c r="QM11" s="178"/>
      <c r="QN11" s="178"/>
      <c r="QO11" s="178"/>
      <c r="QP11" s="178"/>
      <c r="QQ11" s="178"/>
      <c r="QR11" s="178"/>
      <c r="QS11" s="178"/>
      <c r="QT11" s="178"/>
      <c r="QU11" s="178"/>
      <c r="QV11" s="178"/>
      <c r="QW11" s="178"/>
      <c r="QX11" s="178"/>
      <c r="QY11" s="178"/>
      <c r="QZ11" s="178"/>
      <c r="RA11" s="178"/>
      <c r="RB11" s="178"/>
      <c r="RC11" s="178"/>
      <c r="RD11" s="178"/>
      <c r="RE11" s="178"/>
      <c r="RF11" s="178"/>
      <c r="RG11" s="178"/>
      <c r="RH11" s="178"/>
      <c r="RI11" s="178"/>
      <c r="RJ11" s="178"/>
      <c r="RK11" s="178"/>
      <c r="RL11" s="178"/>
      <c r="RM11" s="178"/>
      <c r="RN11" s="178"/>
      <c r="RO11" s="178"/>
      <c r="RP11" s="178"/>
      <c r="RQ11" s="178"/>
      <c r="RR11" s="178"/>
      <c r="RS11" s="178"/>
      <c r="RT11" s="178"/>
      <c r="RU11" s="178"/>
      <c r="RV11" s="178"/>
      <c r="RW11" s="178"/>
      <c r="RX11" s="178"/>
      <c r="RY11" s="178"/>
      <c r="RZ11" s="178"/>
      <c r="SA11" s="178"/>
      <c r="SB11" s="178"/>
      <c r="SC11" s="178"/>
      <c r="SD11" s="178"/>
      <c r="SE11" s="178"/>
      <c r="SF11" s="178"/>
      <c r="SG11" s="178"/>
      <c r="SH11" s="178"/>
      <c r="SI11" s="178"/>
      <c r="SJ11" s="178"/>
      <c r="SK11" s="178"/>
      <c r="SL11" s="178"/>
      <c r="SM11" s="178"/>
      <c r="SN11" s="178"/>
      <c r="SO11" s="178"/>
      <c r="SP11" s="178"/>
      <c r="SQ11" s="178"/>
      <c r="SR11" s="178"/>
      <c r="SS11" s="178"/>
      <c r="ST11" s="178"/>
      <c r="SU11" s="178"/>
      <c r="SV11" s="178"/>
      <c r="SW11" s="178"/>
      <c r="SX11" s="178"/>
      <c r="SY11" s="178"/>
      <c r="SZ11" s="178"/>
      <c r="TA11" s="178"/>
      <c r="TB11" s="178"/>
      <c r="TC11" s="178"/>
      <c r="TD11" s="178"/>
      <c r="TE11" s="178"/>
      <c r="TF11" s="178"/>
      <c r="TG11" s="178"/>
      <c r="TH11" s="178"/>
      <c r="TI11" s="178"/>
      <c r="TJ11" s="178"/>
      <c r="TK11" s="178"/>
      <c r="TL11" s="178"/>
      <c r="TM11" s="178"/>
      <c r="TN11" s="178"/>
      <c r="TO11" s="178"/>
      <c r="TP11" s="178"/>
      <c r="TQ11" s="178"/>
      <c r="TR11" s="178"/>
      <c r="TS11" s="178"/>
      <c r="TT11" s="178"/>
      <c r="TU11" s="178"/>
      <c r="TV11" s="178"/>
      <c r="TW11" s="178"/>
      <c r="TX11" s="178"/>
      <c r="TY11" s="178"/>
      <c r="TZ11" s="178"/>
      <c r="UA11" s="178"/>
      <c r="UB11" s="178"/>
      <c r="UC11" s="178"/>
      <c r="UD11" s="178"/>
      <c r="UE11" s="178"/>
      <c r="UF11" s="178"/>
      <c r="UG11" s="178"/>
      <c r="UH11" s="178"/>
      <c r="UI11" s="178"/>
      <c r="UJ11" s="178"/>
      <c r="UK11" s="178"/>
      <c r="UL11" s="178"/>
      <c r="UM11" s="178"/>
      <c r="UN11" s="178"/>
      <c r="UO11" s="178"/>
      <c r="UP11" s="178"/>
      <c r="UQ11" s="178"/>
      <c r="UR11" s="178"/>
      <c r="US11" s="178"/>
      <c r="UT11" s="178"/>
      <c r="UU11" s="178"/>
      <c r="UV11" s="178"/>
      <c r="UW11" s="178"/>
      <c r="UX11" s="178"/>
      <c r="UY11" s="178"/>
      <c r="UZ11" s="178"/>
      <c r="VA11" s="178"/>
      <c r="VB11" s="178"/>
      <c r="VC11" s="178"/>
      <c r="VD11" s="178"/>
      <c r="VE11" s="178"/>
      <c r="VF11" s="178"/>
      <c r="VG11" s="178"/>
      <c r="VH11" s="178"/>
      <c r="VI11" s="178"/>
      <c r="VJ11" s="178"/>
      <c r="VK11" s="178"/>
      <c r="VL11" s="178"/>
      <c r="VM11" s="178"/>
      <c r="VN11" s="178"/>
      <c r="VO11" s="178"/>
      <c r="VP11" s="178"/>
      <c r="VQ11" s="178"/>
      <c r="VR11" s="178"/>
      <c r="VS11" s="178"/>
      <c r="VT11" s="178"/>
      <c r="VU11" s="178"/>
      <c r="VV11" s="178"/>
      <c r="VW11" s="178"/>
      <c r="VX11" s="178"/>
      <c r="VY11" s="178"/>
      <c r="VZ11" s="178"/>
      <c r="WA11" s="178"/>
      <c r="WB11" s="178"/>
      <c r="WC11" s="178"/>
      <c r="WD11" s="178"/>
      <c r="WE11" s="178"/>
      <c r="WF11" s="178"/>
      <c r="WG11" s="178"/>
      <c r="WH11" s="178"/>
      <c r="WI11" s="178"/>
      <c r="WJ11" s="178"/>
      <c r="WK11" s="178"/>
      <c r="WL11" s="178"/>
      <c r="WM11" s="178"/>
      <c r="WN11" s="178"/>
      <c r="WO11" s="178"/>
      <c r="WP11" s="178"/>
      <c r="WQ11" s="178"/>
      <c r="WR11" s="178"/>
      <c r="WS11" s="178"/>
      <c r="WT11" s="178"/>
      <c r="WU11" s="178"/>
      <c r="WV11" s="178"/>
      <c r="WW11" s="178"/>
      <c r="WX11" s="178"/>
      <c r="WY11" s="178"/>
      <c r="WZ11" s="178"/>
      <c r="XA11" s="178"/>
      <c r="XB11" s="178"/>
      <c r="XC11" s="178"/>
      <c r="XD11" s="178"/>
      <c r="XE11" s="178"/>
      <c r="XF11" s="178"/>
      <c r="XG11" s="178"/>
      <c r="XH11" s="178"/>
      <c r="XI11" s="178"/>
      <c r="XJ11" s="178"/>
      <c r="XK11" s="178"/>
      <c r="XL11" s="178"/>
      <c r="XM11" s="178"/>
      <c r="XN11" s="178"/>
      <c r="XO11" s="178"/>
      <c r="XP11" s="178"/>
      <c r="XQ11" s="178"/>
      <c r="XR11" s="178"/>
      <c r="XS11" s="178"/>
      <c r="XT11" s="178"/>
      <c r="XU11" s="178"/>
      <c r="XV11" s="178"/>
      <c r="XW11" s="178"/>
      <c r="XX11" s="178"/>
      <c r="XY11" s="178"/>
      <c r="XZ11" s="178"/>
      <c r="YA11" s="178"/>
      <c r="YB11" s="178"/>
      <c r="YC11" s="178"/>
      <c r="YD11" s="178"/>
      <c r="YE11" s="178"/>
      <c r="YF11" s="178"/>
      <c r="YG11" s="178"/>
      <c r="YH11" s="178"/>
      <c r="YI11" s="178"/>
      <c r="YJ11" s="178"/>
      <c r="YK11" s="178"/>
      <c r="YL11" s="178"/>
      <c r="YM11" s="178"/>
      <c r="YN11" s="178"/>
      <c r="YO11" s="178"/>
      <c r="YP11" s="178"/>
      <c r="YQ11" s="178"/>
      <c r="YR11" s="178"/>
      <c r="YS11" s="178"/>
      <c r="YT11" s="178"/>
      <c r="YU11" s="178"/>
      <c r="YV11" s="178"/>
      <c r="YW11" s="178"/>
      <c r="YX11" s="178"/>
      <c r="YY11" s="178"/>
      <c r="YZ11" s="178"/>
      <c r="ZA11" s="178"/>
      <c r="ZB11" s="178"/>
      <c r="ZC11" s="178"/>
      <c r="ZD11" s="178"/>
      <c r="ZE11" s="178"/>
      <c r="ZF11" s="178"/>
      <c r="ZG11" s="178"/>
      <c r="ZH11" s="178"/>
      <c r="ZI11" s="178"/>
      <c r="ZJ11" s="178"/>
      <c r="ZK11" s="178"/>
      <c r="ZL11" s="178"/>
      <c r="ZM11" s="178"/>
      <c r="ZN11" s="178"/>
      <c r="ZO11" s="178"/>
      <c r="ZP11" s="178"/>
      <c r="ZQ11" s="178"/>
      <c r="ZR11" s="178"/>
      <c r="ZS11" s="178"/>
      <c r="ZT11" s="178"/>
      <c r="ZU11" s="178"/>
      <c r="ZV11" s="178"/>
      <c r="ZW11" s="178"/>
      <c r="ZX11" s="178"/>
      <c r="ZY11" s="178"/>
      <c r="ZZ11" s="178"/>
      <c r="AAA11" s="178"/>
      <c r="AAB11" s="178"/>
      <c r="AAC11" s="178"/>
      <c r="AAD11" s="178"/>
      <c r="AAE11" s="178"/>
      <c r="AAF11" s="178"/>
      <c r="AAG11" s="178"/>
      <c r="AAH11" s="178"/>
      <c r="AAI11" s="178"/>
      <c r="AAJ11" s="178"/>
      <c r="AAK11" s="178"/>
      <c r="AAL11" s="178"/>
      <c r="AAM11" s="178"/>
      <c r="AAN11" s="178"/>
      <c r="AAO11" s="178"/>
      <c r="AAP11" s="178"/>
      <c r="AAQ11" s="178"/>
      <c r="AAR11" s="178"/>
      <c r="AAS11" s="178"/>
      <c r="AAT11" s="178"/>
      <c r="AAU11" s="178"/>
      <c r="AAV11" s="178"/>
      <c r="AAW11" s="178"/>
      <c r="AAX11" s="178"/>
      <c r="AAY11" s="178"/>
      <c r="AAZ11" s="178"/>
      <c r="ABA11" s="178"/>
      <c r="ABB11" s="178"/>
      <c r="ABC11" s="178"/>
      <c r="ABD11" s="178"/>
      <c r="ABE11" s="178"/>
      <c r="ABF11" s="178"/>
      <c r="ABG11" s="178"/>
      <c r="ABH11" s="178"/>
      <c r="ABI11" s="178"/>
      <c r="ABJ11" s="178"/>
      <c r="ABK11" s="178"/>
      <c r="ABL11" s="178"/>
      <c r="ABM11" s="178"/>
      <c r="ABN11" s="178"/>
      <c r="ABO11" s="178"/>
      <c r="ABP11" s="178"/>
      <c r="ABQ11" s="178"/>
      <c r="ABR11" s="178"/>
      <c r="ABS11" s="178"/>
      <c r="ABT11" s="178"/>
      <c r="ABU11" s="178"/>
      <c r="ABV11" s="178"/>
      <c r="ABW11" s="178"/>
      <c r="ABX11" s="178"/>
      <c r="ABY11" s="178"/>
      <c r="ABZ11" s="178"/>
      <c r="ACA11" s="178"/>
      <c r="ACB11" s="178"/>
      <c r="ACC11" s="178"/>
      <c r="ACD11" s="178"/>
      <c r="ACE11" s="178"/>
      <c r="ACF11" s="178"/>
      <c r="ACG11" s="178"/>
      <c r="ACH11" s="178"/>
      <c r="ACI11" s="178"/>
      <c r="ACJ11" s="178"/>
      <c r="ACK11" s="178"/>
      <c r="ACL11" s="178"/>
      <c r="ACM11" s="178"/>
      <c r="ACN11" s="178"/>
      <c r="ACO11" s="178"/>
      <c r="ACP11" s="178"/>
      <c r="ACQ11" s="178"/>
      <c r="ACR11" s="178"/>
      <c r="ACS11" s="178"/>
      <c r="ACT11" s="178"/>
      <c r="ACU11" s="178"/>
      <c r="ACV11" s="178"/>
      <c r="ACW11" s="178"/>
      <c r="ACX11" s="178"/>
      <c r="ACY11" s="178"/>
      <c r="ACZ11" s="178"/>
      <c r="ADA11" s="178"/>
      <c r="ADB11" s="178"/>
      <c r="ADC11" s="178"/>
      <c r="ADD11" s="178"/>
      <c r="ADE11" s="178"/>
      <c r="ADF11" s="178"/>
      <c r="ADG11" s="178"/>
      <c r="ADH11" s="178"/>
      <c r="ADI11" s="178"/>
      <c r="ADJ11" s="178"/>
      <c r="ADK11" s="178"/>
      <c r="ADL11" s="178"/>
      <c r="ADM11" s="178"/>
      <c r="ADN11" s="178"/>
      <c r="ADO11" s="178"/>
      <c r="ADP11" s="178"/>
      <c r="ADQ11" s="178"/>
      <c r="ADR11" s="178"/>
      <c r="ADS11" s="178"/>
      <c r="ADT11" s="178"/>
      <c r="ADU11" s="178"/>
      <c r="ADV11" s="178"/>
      <c r="ADW11" s="178"/>
      <c r="ADX11" s="178"/>
      <c r="ADY11" s="178"/>
      <c r="ADZ11" s="178"/>
      <c r="AEA11" s="178"/>
      <c r="AEB11" s="178"/>
      <c r="AEC11" s="178"/>
      <c r="AED11" s="178"/>
      <c r="AEE11" s="178"/>
      <c r="AEF11" s="178"/>
      <c r="AEG11" s="178"/>
      <c r="AEH11" s="178"/>
      <c r="AEI11" s="178"/>
      <c r="AEJ11" s="178"/>
      <c r="AEK11" s="178"/>
      <c r="AEL11" s="178"/>
      <c r="AEM11" s="178"/>
      <c r="AEN11" s="178"/>
      <c r="AEO11" s="178"/>
      <c r="AEP11" s="178"/>
      <c r="AEQ11" s="178"/>
      <c r="AER11" s="178"/>
      <c r="AES11" s="178"/>
      <c r="AET11" s="178"/>
      <c r="AEU11" s="178"/>
      <c r="AEV11" s="178"/>
      <c r="AEW11" s="178"/>
      <c r="AEX11" s="178"/>
      <c r="AEY11" s="178"/>
      <c r="AEZ11" s="178"/>
      <c r="AFA11" s="178"/>
      <c r="AFB11" s="178"/>
      <c r="AFC11" s="178"/>
      <c r="AFD11" s="178"/>
      <c r="AFE11" s="178"/>
      <c r="AFF11" s="178"/>
      <c r="AFG11" s="178"/>
      <c r="AFH11" s="178"/>
      <c r="AFI11" s="178"/>
      <c r="AFJ11" s="178"/>
      <c r="AFK11" s="178"/>
      <c r="AFL11" s="178"/>
      <c r="AFM11" s="178"/>
      <c r="AFN11" s="178"/>
      <c r="AFO11" s="178"/>
      <c r="AFP11" s="178"/>
      <c r="AFQ11" s="178"/>
      <c r="AFR11" s="178"/>
      <c r="AFS11" s="178"/>
      <c r="AFT11" s="178"/>
      <c r="AFU11" s="178"/>
      <c r="AFV11" s="178"/>
      <c r="AFW11" s="178"/>
      <c r="AFX11" s="178"/>
      <c r="AFY11" s="178"/>
      <c r="AFZ11" s="178"/>
      <c r="AGA11" s="178"/>
      <c r="AGB11" s="178"/>
      <c r="AGC11" s="178"/>
      <c r="AGD11" s="178"/>
      <c r="AGE11" s="178"/>
      <c r="AGF11" s="178"/>
      <c r="AGG11" s="178"/>
      <c r="AGH11" s="178"/>
      <c r="AGI11" s="178"/>
      <c r="AGJ11" s="178"/>
      <c r="AGK11" s="178"/>
      <c r="AGL11" s="178"/>
      <c r="AGM11" s="178"/>
      <c r="AGN11" s="178"/>
      <c r="AGO11" s="178"/>
      <c r="AGP11" s="178"/>
      <c r="AGQ11" s="178"/>
      <c r="AGR11" s="178"/>
      <c r="AGS11" s="178"/>
      <c r="AGT11" s="178"/>
      <c r="AGU11" s="178"/>
      <c r="AGV11" s="178"/>
      <c r="AGW11" s="178"/>
      <c r="AGX11" s="178"/>
      <c r="AGY11" s="178"/>
      <c r="AGZ11" s="178"/>
      <c r="AHA11" s="178"/>
      <c r="AHB11" s="178"/>
      <c r="AHC11" s="178"/>
      <c r="AHD11" s="178"/>
      <c r="AHE11" s="178"/>
      <c r="AHF11" s="178"/>
      <c r="AHG11" s="178"/>
      <c r="AHH11" s="178"/>
      <c r="AHI11" s="178"/>
      <c r="AHJ11" s="178"/>
      <c r="AHK11" s="178"/>
      <c r="AHL11" s="178"/>
      <c r="AHM11" s="178"/>
      <c r="AHN11" s="178"/>
      <c r="AHO11" s="178"/>
      <c r="AHP11" s="178"/>
      <c r="AHQ11" s="178"/>
      <c r="AHR11" s="178"/>
      <c r="AHS11" s="178"/>
      <c r="AHT11" s="178"/>
      <c r="AHU11" s="178"/>
      <c r="AHV11" s="178"/>
      <c r="AHW11" s="178"/>
      <c r="AHX11" s="178"/>
      <c r="AHY11" s="178"/>
      <c r="AHZ11" s="178"/>
      <c r="AIA11" s="178"/>
      <c r="AIB11" s="178"/>
      <c r="AIC11" s="178"/>
      <c r="AID11" s="178"/>
      <c r="AIE11" s="178"/>
      <c r="AIF11" s="178"/>
      <c r="AIG11" s="178"/>
      <c r="AIH11" s="178"/>
      <c r="AII11" s="178"/>
      <c r="AIJ11" s="178"/>
      <c r="AIK11" s="178"/>
      <c r="AIL11" s="178"/>
      <c r="AIM11" s="178"/>
      <c r="AIN11" s="178"/>
      <c r="AIO11" s="178"/>
      <c r="AIP11" s="178"/>
      <c r="AIQ11" s="178"/>
      <c r="AIR11" s="178"/>
      <c r="AIS11" s="178"/>
      <c r="AIT11" s="178"/>
      <c r="AIU11" s="178"/>
      <c r="AIV11" s="178"/>
      <c r="AIW11" s="178"/>
      <c r="AIX11" s="178"/>
      <c r="AIY11" s="178"/>
      <c r="AIZ11" s="178"/>
      <c r="AJA11" s="178"/>
      <c r="AJB11" s="178"/>
      <c r="AJC11" s="178"/>
      <c r="AJD11" s="178"/>
      <c r="AJE11" s="178"/>
      <c r="AJF11" s="178"/>
      <c r="AJG11" s="178"/>
      <c r="AJH11" s="178"/>
      <c r="AJI11" s="178"/>
      <c r="AJJ11" s="178"/>
      <c r="AJK11" s="178"/>
      <c r="AJL11" s="178"/>
      <c r="AJM11" s="178"/>
      <c r="AJN11" s="178"/>
      <c r="AJO11" s="178"/>
      <c r="AJP11" s="178"/>
      <c r="AJQ11" s="178"/>
      <c r="AJR11" s="178"/>
      <c r="AJS11" s="178"/>
      <c r="AJT11" s="178"/>
      <c r="AJU11" s="178"/>
      <c r="AJV11" s="178"/>
      <c r="AJW11" s="178"/>
      <c r="AJX11" s="178"/>
      <c r="AJY11" s="178"/>
      <c r="AJZ11" s="178"/>
      <c r="AKA11" s="178"/>
      <c r="AKB11" s="178"/>
      <c r="AKC11" s="178"/>
      <c r="AKD11" s="178"/>
      <c r="AKE11" s="178"/>
      <c r="AKF11" s="178"/>
      <c r="AKG11" s="178"/>
      <c r="AKH11" s="178"/>
      <c r="AKI11" s="178"/>
      <c r="AKJ11" s="178"/>
      <c r="AKK11" s="178"/>
      <c r="AKL11" s="178"/>
      <c r="AKM11" s="178"/>
      <c r="AKN11" s="178"/>
      <c r="AKO11" s="178"/>
      <c r="AKP11" s="178"/>
      <c r="AKQ11" s="178"/>
      <c r="AKR11" s="178"/>
      <c r="AKS11" s="178"/>
      <c r="AKT11" s="178"/>
      <c r="AKU11" s="178"/>
      <c r="AKV11" s="178"/>
      <c r="AKW11" s="178"/>
      <c r="AKX11" s="178"/>
      <c r="AKY11" s="178"/>
      <c r="AKZ11" s="178"/>
      <c r="ALA11" s="178"/>
      <c r="ALB11" s="178"/>
      <c r="ALC11" s="178"/>
      <c r="ALD11" s="178"/>
      <c r="ALE11" s="178"/>
      <c r="ALF11" s="178"/>
      <c r="ALG11" s="178"/>
      <c r="ALH11" s="178"/>
      <c r="ALI11" s="178"/>
      <c r="ALJ11" s="178"/>
      <c r="ALK11" s="178"/>
      <c r="ALL11" s="178"/>
      <c r="ALM11" s="178"/>
      <c r="ALN11" s="178"/>
      <c r="ALO11" s="178"/>
      <c r="ALP11" s="178"/>
      <c r="ALQ11" s="178"/>
      <c r="ALR11" s="178"/>
      <c r="ALS11" s="178"/>
      <c r="ALT11" s="178"/>
      <c r="ALU11" s="178"/>
      <c r="ALV11" s="178"/>
      <c r="ALW11" s="178"/>
      <c r="ALX11" s="178"/>
      <c r="ALY11" s="178"/>
      <c r="ALZ11" s="178"/>
      <c r="AMA11" s="178"/>
      <c r="AMB11" s="178"/>
      <c r="AMC11" s="178"/>
      <c r="AMD11" s="178"/>
      <c r="AME11" s="178"/>
      <c r="AMF11" s="178"/>
      <c r="AMG11" s="178"/>
      <c r="AMH11" s="178"/>
      <c r="AMI11" s="178"/>
      <c r="AMJ11" s="178"/>
      <c r="AMK11" s="178"/>
      <c r="AML11" s="178"/>
      <c r="AMM11" s="178"/>
      <c r="AMN11" s="178"/>
      <c r="AMO11" s="178"/>
      <c r="AMP11" s="178"/>
      <c r="AMQ11" s="178"/>
      <c r="AMR11" s="178"/>
      <c r="AMS11" s="178"/>
      <c r="AMT11" s="178"/>
      <c r="AMU11" s="178"/>
      <c r="AMV11" s="178"/>
      <c r="AMW11" s="178"/>
      <c r="AMX11" s="178"/>
      <c r="AMY11" s="178"/>
      <c r="AMZ11" s="178"/>
      <c r="ANA11" s="178"/>
      <c r="ANB11" s="178"/>
      <c r="ANC11" s="178"/>
      <c r="AND11" s="178"/>
      <c r="ANE11" s="178"/>
      <c r="ANF11" s="178"/>
      <c r="ANG11" s="178"/>
      <c r="ANH11" s="178"/>
      <c r="ANI11" s="178"/>
      <c r="ANJ11" s="178"/>
      <c r="ANK11" s="178"/>
      <c r="ANL11" s="178"/>
      <c r="ANM11" s="178"/>
      <c r="ANN11" s="178"/>
      <c r="ANO11" s="178"/>
      <c r="ANP11" s="178"/>
      <c r="ANQ11" s="178"/>
      <c r="ANR11" s="178"/>
      <c r="ANS11" s="178"/>
      <c r="ANT11" s="178"/>
      <c r="ANU11" s="178"/>
      <c r="ANV11" s="178"/>
      <c r="ANW11" s="178"/>
      <c r="ANX11" s="178"/>
      <c r="ANY11" s="178"/>
      <c r="ANZ11" s="178"/>
      <c r="AOA11" s="178"/>
      <c r="AOB11" s="178"/>
      <c r="AOC11" s="178"/>
      <c r="AOD11" s="178"/>
      <c r="AOE11" s="178"/>
      <c r="AOF11" s="178"/>
      <c r="AOG11" s="178"/>
      <c r="AOH11" s="178"/>
      <c r="AOI11" s="178"/>
      <c r="AOJ11" s="178"/>
      <c r="AOK11" s="178"/>
      <c r="AOL11" s="178"/>
      <c r="AOM11" s="178"/>
      <c r="AON11" s="178"/>
      <c r="AOO11" s="178"/>
      <c r="AOP11" s="178"/>
      <c r="AOQ11" s="178"/>
      <c r="AOR11" s="178"/>
      <c r="AOS11" s="178"/>
      <c r="AOT11" s="178"/>
      <c r="AOU11" s="178"/>
      <c r="AOV11" s="178"/>
      <c r="AOW11" s="178"/>
      <c r="AOX11" s="178"/>
      <c r="AOY11" s="178"/>
      <c r="AOZ11" s="178"/>
      <c r="APA11" s="178"/>
      <c r="APB11" s="178"/>
      <c r="APC11" s="178"/>
      <c r="APD11" s="178"/>
      <c r="APE11" s="178"/>
      <c r="APF11" s="178"/>
      <c r="APG11" s="178"/>
      <c r="APH11" s="178"/>
      <c r="API11" s="178"/>
      <c r="APJ11" s="178"/>
      <c r="APK11" s="178"/>
      <c r="APL11" s="178"/>
      <c r="APM11" s="178"/>
      <c r="APN11" s="178"/>
      <c r="APO11" s="178"/>
      <c r="APP11" s="178"/>
      <c r="APQ11" s="178"/>
      <c r="APR11" s="178"/>
      <c r="APS11" s="178"/>
      <c r="APT11" s="178"/>
      <c r="APU11" s="178"/>
      <c r="APV11" s="178"/>
      <c r="APW11" s="178"/>
      <c r="APX11" s="178"/>
      <c r="APY11" s="178"/>
      <c r="APZ11" s="178"/>
      <c r="AQA11" s="178"/>
      <c r="AQB11" s="178"/>
      <c r="AQC11" s="178"/>
      <c r="AQD11" s="178"/>
      <c r="AQE11" s="178"/>
      <c r="AQF11" s="178"/>
      <c r="AQG11" s="178"/>
      <c r="AQH11" s="178"/>
      <c r="AQI11" s="178"/>
      <c r="AQJ11" s="178"/>
      <c r="AQK11" s="178"/>
      <c r="AQL11" s="178"/>
      <c r="AQM11" s="178"/>
      <c r="AQN11" s="178"/>
      <c r="AQO11" s="178"/>
      <c r="AQP11" s="178"/>
      <c r="AQQ11" s="178"/>
      <c r="AQR11" s="178"/>
      <c r="AQS11" s="178"/>
      <c r="AQT11" s="178"/>
      <c r="AQU11" s="178"/>
      <c r="AQV11" s="178"/>
      <c r="AQW11" s="178"/>
      <c r="AQX11" s="178"/>
      <c r="AQY11" s="178"/>
      <c r="AQZ11" s="178"/>
      <c r="ARA11" s="178"/>
      <c r="ARB11" s="178"/>
      <c r="ARC11" s="178"/>
      <c r="ARD11" s="178"/>
      <c r="ARE11" s="178"/>
      <c r="ARF11" s="178"/>
      <c r="ARG11" s="178"/>
      <c r="ARH11" s="178"/>
      <c r="ARI11" s="178"/>
      <c r="ARJ11" s="178"/>
      <c r="ARK11" s="178"/>
      <c r="ARL11" s="178"/>
      <c r="ARM11" s="178"/>
      <c r="ARN11" s="178"/>
      <c r="ARO11" s="178"/>
      <c r="ARP11" s="178"/>
      <c r="ARQ11" s="178"/>
      <c r="ARR11" s="178"/>
      <c r="ARS11" s="178"/>
      <c r="ART11" s="178"/>
      <c r="ARU11" s="178"/>
      <c r="ARV11" s="178"/>
      <c r="ARW11" s="178"/>
      <c r="ARX11" s="178"/>
      <c r="ARY11" s="178"/>
      <c r="ARZ11" s="178"/>
      <c r="ASA11" s="178"/>
      <c r="ASB11" s="178"/>
      <c r="ASC11" s="178"/>
      <c r="ASD11" s="178"/>
      <c r="ASE11" s="178"/>
      <c r="ASF11" s="178"/>
      <c r="ASG11" s="178"/>
      <c r="ASH11" s="178"/>
      <c r="ASI11" s="178"/>
      <c r="ASJ11" s="178"/>
      <c r="ASK11" s="178"/>
      <c r="ASL11" s="178"/>
      <c r="ASM11" s="178"/>
      <c r="ASN11" s="178"/>
      <c r="ASO11" s="178"/>
      <c r="ASP11" s="178"/>
      <c r="ASQ11" s="178"/>
      <c r="ASR11" s="178"/>
      <c r="ASS11" s="178"/>
      <c r="AST11" s="178"/>
      <c r="ASU11" s="178"/>
      <c r="ASV11" s="178"/>
      <c r="ASW11" s="178"/>
      <c r="ASX11" s="178"/>
      <c r="ASY11" s="178"/>
      <c r="ASZ11" s="178"/>
      <c r="ATA11" s="178"/>
      <c r="ATB11" s="178"/>
      <c r="ATC11" s="178"/>
      <c r="ATD11" s="178"/>
      <c r="ATE11" s="178"/>
      <c r="ATF11" s="178"/>
      <c r="ATG11" s="178"/>
      <c r="ATH11" s="178"/>
      <c r="ATI11" s="178"/>
      <c r="ATJ11" s="178"/>
      <c r="ATK11" s="178"/>
      <c r="ATL11" s="178"/>
      <c r="ATM11" s="178"/>
      <c r="ATN11" s="178"/>
      <c r="ATO11" s="178"/>
      <c r="ATP11" s="178"/>
      <c r="ATQ11" s="178"/>
      <c r="ATR11" s="178"/>
      <c r="ATS11" s="178"/>
      <c r="ATT11" s="178"/>
      <c r="ATU11" s="178"/>
      <c r="ATV11" s="178"/>
      <c r="ATW11" s="178"/>
      <c r="ATX11" s="178"/>
      <c r="ATY11" s="178"/>
      <c r="ATZ11" s="178"/>
      <c r="AUA11" s="178"/>
      <c r="AUB11" s="178"/>
      <c r="AUC11" s="178"/>
      <c r="AUD11" s="178"/>
      <c r="AUE11" s="178"/>
      <c r="AUF11" s="178"/>
      <c r="AUG11" s="178"/>
      <c r="AUH11" s="178"/>
      <c r="AUI11" s="178"/>
      <c r="AUJ11" s="178"/>
      <c r="AUK11" s="178"/>
      <c r="AUL11" s="178"/>
      <c r="AUM11" s="178"/>
      <c r="AUN11" s="178"/>
      <c r="AUO11" s="178"/>
      <c r="AUP11" s="178"/>
      <c r="AUQ11" s="178"/>
      <c r="AUR11" s="178"/>
      <c r="AUS11" s="178"/>
      <c r="AUT11" s="178"/>
      <c r="AUU11" s="178"/>
      <c r="AUV11" s="178"/>
      <c r="AUW11" s="178"/>
      <c r="AUX11" s="178"/>
      <c r="AUY11" s="178"/>
      <c r="AUZ11" s="178"/>
      <c r="AVA11" s="178"/>
      <c r="AVB11" s="178"/>
      <c r="AVC11" s="178"/>
      <c r="AVD11" s="178"/>
      <c r="AVE11" s="178"/>
      <c r="AVF11" s="178"/>
      <c r="AVG11" s="178"/>
      <c r="AVH11" s="178"/>
      <c r="AVI11" s="178"/>
      <c r="AVJ11" s="178"/>
      <c r="AVK11" s="178"/>
      <c r="AVL11" s="178"/>
      <c r="AVM11" s="178"/>
      <c r="AVN11" s="178"/>
      <c r="AVO11" s="178"/>
      <c r="AVP11" s="178"/>
      <c r="AVQ11" s="178"/>
      <c r="AVR11" s="178"/>
      <c r="AVS11" s="178"/>
      <c r="AVT11" s="178"/>
      <c r="AVU11" s="178"/>
      <c r="AVV11" s="178"/>
      <c r="AVW11" s="178"/>
      <c r="AVX11" s="178"/>
      <c r="AVY11" s="178"/>
      <c r="AVZ11" s="178"/>
      <c r="AWA11" s="178"/>
      <c r="AWB11" s="178"/>
      <c r="AWC11" s="178"/>
      <c r="AWD11" s="178"/>
      <c r="AWE11" s="178"/>
      <c r="AWF11" s="178"/>
      <c r="AWG11" s="178"/>
      <c r="AWH11" s="178"/>
      <c r="AWI11" s="178"/>
      <c r="AWJ11" s="178"/>
      <c r="AWK11" s="178"/>
      <c r="AWL11" s="178"/>
      <c r="AWM11" s="178"/>
      <c r="AWN11" s="178"/>
      <c r="AWO11" s="178"/>
      <c r="AWP11" s="178"/>
      <c r="AWQ11" s="178"/>
      <c r="AWR11" s="178"/>
      <c r="AWS11" s="178"/>
      <c r="AWT11" s="178"/>
      <c r="AWU11" s="178"/>
      <c r="AWV11" s="178"/>
      <c r="AWW11" s="178"/>
      <c r="AWX11" s="178"/>
      <c r="AWY11" s="178"/>
      <c r="AWZ11" s="178"/>
      <c r="AXA11" s="178"/>
      <c r="AXB11" s="178"/>
      <c r="AXC11" s="178"/>
      <c r="AXD11" s="178"/>
      <c r="AXE11" s="178"/>
      <c r="AXF11" s="178"/>
      <c r="AXG11" s="178"/>
      <c r="AXH11" s="178"/>
      <c r="AXI11" s="178"/>
      <c r="AXJ11" s="178"/>
      <c r="AXK11" s="178"/>
      <c r="AXL11" s="178"/>
      <c r="AXM11" s="178"/>
      <c r="AXN11" s="178"/>
      <c r="AXO11" s="178"/>
      <c r="AXP11" s="178"/>
      <c r="AXQ11" s="178"/>
      <c r="AXR11" s="178"/>
      <c r="AXS11" s="178"/>
      <c r="AXT11" s="178"/>
      <c r="AXU11" s="178"/>
      <c r="AXV11" s="178"/>
      <c r="AXW11" s="178"/>
      <c r="AXX11" s="178"/>
      <c r="AXY11" s="178"/>
      <c r="AXZ11" s="178"/>
      <c r="AYA11" s="178"/>
      <c r="AYB11" s="178"/>
      <c r="AYC11" s="178"/>
      <c r="AYD11" s="178"/>
      <c r="AYE11" s="178"/>
      <c r="AYF11" s="178"/>
      <c r="AYG11" s="178"/>
      <c r="AYH11" s="178"/>
      <c r="AYI11" s="178"/>
      <c r="AYJ11" s="178"/>
      <c r="AYK11" s="178"/>
      <c r="AYL11" s="178"/>
      <c r="AYM11" s="178"/>
      <c r="AYN11" s="178"/>
      <c r="AYO11" s="178"/>
      <c r="AYP11" s="178"/>
      <c r="AYQ11" s="178"/>
      <c r="AYR11" s="178"/>
      <c r="AYS11" s="178"/>
      <c r="AYT11" s="178"/>
      <c r="AYU11" s="178"/>
      <c r="AYV11" s="178"/>
      <c r="AYW11" s="178"/>
      <c r="AYX11" s="178"/>
      <c r="AYY11" s="178"/>
      <c r="AYZ11" s="178"/>
      <c r="AZA11" s="178"/>
      <c r="AZB11" s="178"/>
      <c r="AZC11" s="178"/>
      <c r="AZD11" s="178"/>
      <c r="AZE11" s="178"/>
      <c r="AZF11" s="178"/>
      <c r="AZG11" s="178"/>
      <c r="AZH11" s="178"/>
      <c r="AZI11" s="178"/>
      <c r="AZJ11" s="178"/>
      <c r="AZK11" s="178"/>
      <c r="AZL11" s="178"/>
      <c r="AZM11" s="178"/>
      <c r="AZN11" s="178"/>
      <c r="AZO11" s="178"/>
      <c r="AZP11" s="178"/>
      <c r="AZQ11" s="178"/>
      <c r="AZR11" s="178"/>
      <c r="AZS11" s="178"/>
      <c r="AZT11" s="178"/>
      <c r="AZU11" s="178"/>
      <c r="AZV11" s="178"/>
      <c r="AZW11" s="178"/>
      <c r="AZX11" s="178"/>
      <c r="AZY11" s="178"/>
      <c r="AZZ11" s="178"/>
      <c r="BAA11" s="178"/>
      <c r="BAB11" s="178"/>
      <c r="BAC11" s="178"/>
      <c r="BAD11" s="178"/>
      <c r="BAE11" s="178"/>
      <c r="BAF11" s="178"/>
      <c r="BAG11" s="178"/>
      <c r="BAH11" s="178"/>
      <c r="BAI11" s="178"/>
      <c r="BAJ11" s="178"/>
      <c r="BAK11" s="178"/>
      <c r="BAL11" s="178"/>
      <c r="BAM11" s="178"/>
      <c r="BAN11" s="178"/>
      <c r="BAO11" s="178"/>
      <c r="BAP11" s="178"/>
      <c r="BAQ11" s="178"/>
      <c r="BAR11" s="178"/>
      <c r="BAS11" s="178"/>
      <c r="BAT11" s="178"/>
      <c r="BAU11" s="178"/>
      <c r="BAV11" s="178"/>
      <c r="BAW11" s="178"/>
      <c r="BAX11" s="178"/>
      <c r="BAY11" s="178"/>
      <c r="BAZ11" s="178"/>
      <c r="BBA11" s="178"/>
      <c r="BBB11" s="178"/>
      <c r="BBC11" s="178"/>
      <c r="BBD11" s="178"/>
      <c r="BBE11" s="178"/>
      <c r="BBF11" s="178"/>
      <c r="BBG11" s="178"/>
      <c r="BBH11" s="178"/>
      <c r="BBI11" s="178"/>
      <c r="BBJ11" s="178"/>
      <c r="BBK11" s="178"/>
      <c r="BBL11" s="178"/>
      <c r="BBM11" s="178"/>
      <c r="BBN11" s="178"/>
      <c r="BBO11" s="178"/>
      <c r="BBP11" s="178"/>
      <c r="BBQ11" s="178"/>
      <c r="BBR11" s="178"/>
      <c r="BBS11" s="178"/>
      <c r="BBT11" s="178"/>
      <c r="BBU11" s="178"/>
      <c r="BBV11" s="178"/>
      <c r="BBW11" s="178"/>
      <c r="BBX11" s="178"/>
      <c r="BBY11" s="178"/>
      <c r="BBZ11" s="178"/>
      <c r="BCA11" s="178"/>
      <c r="BCB11" s="178"/>
      <c r="BCC11" s="178"/>
      <c r="BCD11" s="178"/>
      <c r="BCE11" s="178"/>
      <c r="BCF11" s="178"/>
      <c r="BCG11" s="178"/>
      <c r="BCH11" s="178"/>
      <c r="BCI11" s="178"/>
      <c r="BCJ11" s="178"/>
      <c r="BCK11" s="178"/>
      <c r="BCL11" s="178"/>
      <c r="BCM11" s="178"/>
      <c r="BCN11" s="178"/>
      <c r="BCO11" s="178"/>
      <c r="BCP11" s="178"/>
      <c r="BCQ11" s="178"/>
      <c r="BCR11" s="178"/>
      <c r="BCS11" s="178"/>
      <c r="BCT11" s="178"/>
      <c r="BCU11" s="178"/>
      <c r="BCV11" s="178"/>
      <c r="BCW11" s="178"/>
      <c r="BCX11" s="178"/>
      <c r="BCY11" s="178"/>
      <c r="BCZ11" s="178"/>
      <c r="BDA11" s="178"/>
      <c r="BDB11" s="178"/>
      <c r="BDC11" s="178"/>
      <c r="BDD11" s="178"/>
      <c r="BDE11" s="178"/>
      <c r="BDF11" s="178"/>
      <c r="BDG11" s="178"/>
      <c r="BDH11" s="178"/>
      <c r="BDI11" s="178"/>
      <c r="BDJ11" s="178"/>
      <c r="BDK11" s="178"/>
      <c r="BDL11" s="178"/>
      <c r="BDM11" s="178"/>
      <c r="BDN11" s="178"/>
      <c r="BDO11" s="178"/>
      <c r="BDP11" s="178"/>
      <c r="BDQ11" s="178"/>
      <c r="BDR11" s="178"/>
      <c r="BDS11" s="178"/>
      <c r="BDT11" s="178"/>
      <c r="BDU11" s="178"/>
      <c r="BDV11" s="178"/>
      <c r="BDW11" s="178"/>
      <c r="BDX11" s="178"/>
      <c r="BDY11" s="178"/>
      <c r="BDZ11" s="178"/>
      <c r="BEA11" s="178"/>
      <c r="BEB11" s="178"/>
      <c r="BEC11" s="178"/>
      <c r="BED11" s="178"/>
      <c r="BEE11" s="178"/>
      <c r="BEF11" s="178"/>
      <c r="BEG11" s="178"/>
      <c r="BEH11" s="178"/>
      <c r="BEI11" s="178"/>
      <c r="BEJ11" s="178"/>
      <c r="BEK11" s="178"/>
      <c r="BEL11" s="178"/>
      <c r="BEM11" s="178"/>
      <c r="BEN11" s="178"/>
      <c r="BEO11" s="178"/>
      <c r="BEP11" s="178"/>
      <c r="BEQ11" s="178"/>
      <c r="BER11" s="178"/>
      <c r="BES11" s="178"/>
      <c r="BET11" s="178"/>
      <c r="BEU11" s="178"/>
      <c r="BEV11" s="178"/>
      <c r="BEW11" s="178"/>
      <c r="BEX11" s="178"/>
      <c r="BEY11" s="178"/>
      <c r="BEZ11" s="178"/>
      <c r="BFA11" s="178"/>
      <c r="BFB11" s="178"/>
      <c r="BFC11" s="178"/>
      <c r="BFD11" s="178"/>
      <c r="BFE11" s="178"/>
      <c r="BFF11" s="178"/>
      <c r="BFG11" s="178"/>
      <c r="BFH11" s="178"/>
      <c r="BFI11" s="178"/>
      <c r="BFJ11" s="178"/>
      <c r="BFK11" s="178"/>
      <c r="BFL11" s="178"/>
      <c r="BFM11" s="178"/>
      <c r="BFN11" s="178"/>
      <c r="BFO11" s="178"/>
      <c r="BFP11" s="178"/>
      <c r="BFQ11" s="178"/>
      <c r="BFR11" s="178"/>
      <c r="BFS11" s="178"/>
      <c r="BFT11" s="178"/>
      <c r="BFU11" s="178"/>
      <c r="BFV11" s="178"/>
      <c r="BFW11" s="178"/>
      <c r="BFX11" s="178"/>
      <c r="BFY11" s="178"/>
      <c r="BFZ11" s="178"/>
      <c r="BGA11" s="178"/>
      <c r="BGB11" s="178"/>
      <c r="BGC11" s="178"/>
      <c r="BGD11" s="178"/>
      <c r="BGE11" s="178"/>
      <c r="BGF11" s="178"/>
      <c r="BGG11" s="178"/>
      <c r="BGH11" s="178"/>
      <c r="BGI11" s="178"/>
      <c r="BGJ11" s="178"/>
      <c r="BGK11" s="178"/>
      <c r="BGL11" s="178"/>
      <c r="BGM11" s="178"/>
      <c r="BGN11" s="178"/>
      <c r="BGO11" s="178"/>
      <c r="BGP11" s="178"/>
      <c r="BGQ11" s="178"/>
      <c r="BGR11" s="178"/>
      <c r="BGS11" s="178"/>
      <c r="BGT11" s="178"/>
      <c r="BGU11" s="178"/>
      <c r="BGV11" s="178"/>
      <c r="BGW11" s="178"/>
      <c r="BGX11" s="178"/>
      <c r="BGY11" s="178"/>
      <c r="BGZ11" s="178"/>
      <c r="BHA11" s="178"/>
      <c r="BHB11" s="178"/>
      <c r="BHC11" s="178"/>
      <c r="BHD11" s="178"/>
      <c r="BHE11" s="178"/>
      <c r="BHF11" s="178"/>
      <c r="BHG11" s="178"/>
      <c r="BHH11" s="178"/>
      <c r="BHI11" s="178"/>
      <c r="BHJ11" s="178"/>
      <c r="BHK11" s="178"/>
      <c r="BHL11" s="178"/>
      <c r="BHM11" s="178"/>
      <c r="BHN11" s="178"/>
      <c r="BHO11" s="178"/>
      <c r="BHP11" s="178"/>
      <c r="BHQ11" s="178"/>
      <c r="BHR11" s="178"/>
      <c r="BHS11" s="178"/>
      <c r="BHT11" s="178"/>
      <c r="BHU11" s="178"/>
      <c r="BHV11" s="178"/>
      <c r="BHW11" s="178"/>
      <c r="BHX11" s="178"/>
      <c r="BHY11" s="178"/>
      <c r="BHZ11" s="178"/>
      <c r="BIA11" s="178"/>
      <c r="BIB11" s="178"/>
      <c r="BIC11" s="178"/>
      <c r="BID11" s="178"/>
      <c r="BIE11" s="178"/>
      <c r="BIF11" s="178"/>
      <c r="BIG11" s="178"/>
      <c r="BIH11" s="178"/>
      <c r="BII11" s="178"/>
      <c r="BIJ11" s="178"/>
      <c r="BIK11" s="178"/>
      <c r="BIL11" s="178"/>
      <c r="BIM11" s="178"/>
      <c r="BIN11" s="178"/>
      <c r="BIO11" s="178"/>
      <c r="BIP11" s="178"/>
      <c r="BIQ11" s="178"/>
      <c r="BIR11" s="178"/>
      <c r="BIS11" s="178"/>
      <c r="BIT11" s="178"/>
      <c r="BIU11" s="178"/>
      <c r="BIV11" s="178"/>
      <c r="BIW11" s="178"/>
      <c r="BIX11" s="178"/>
      <c r="BIY11" s="178"/>
      <c r="BIZ11" s="178"/>
      <c r="BJA11" s="178"/>
      <c r="BJB11" s="178"/>
      <c r="BJC11" s="178"/>
      <c r="BJD11" s="178"/>
      <c r="BJE11" s="178"/>
      <c r="BJF11" s="178"/>
      <c r="BJG11" s="178"/>
      <c r="BJH11" s="178"/>
      <c r="BJI11" s="178"/>
      <c r="BJJ11" s="178"/>
      <c r="BJK11" s="178"/>
      <c r="BJL11" s="178"/>
      <c r="BJM11" s="178"/>
      <c r="BJN11" s="178"/>
      <c r="BJO11" s="178"/>
      <c r="BJP11" s="178"/>
      <c r="BJQ11" s="178"/>
      <c r="BJR11" s="178"/>
      <c r="BJS11" s="178"/>
      <c r="BJT11" s="178"/>
      <c r="BJU11" s="178"/>
      <c r="BJV11" s="178"/>
      <c r="BJW11" s="178"/>
      <c r="BJX11" s="178"/>
      <c r="BJY11" s="178"/>
      <c r="BJZ11" s="178"/>
      <c r="BKA11" s="178"/>
      <c r="BKB11" s="178"/>
      <c r="BKC11" s="178"/>
      <c r="BKD11" s="178"/>
      <c r="BKE11" s="178"/>
      <c r="BKF11" s="178"/>
      <c r="BKG11" s="178"/>
      <c r="BKH11" s="178"/>
      <c r="BKI11" s="178"/>
      <c r="BKJ11" s="178"/>
      <c r="BKK11" s="178"/>
      <c r="BKL11" s="178"/>
      <c r="BKM11" s="178"/>
      <c r="BKN11" s="178"/>
      <c r="BKO11" s="178"/>
      <c r="BKP11" s="178"/>
      <c r="BKQ11" s="178"/>
      <c r="BKR11" s="178"/>
      <c r="BKS11" s="178"/>
      <c r="BKT11" s="178"/>
      <c r="BKU11" s="178"/>
      <c r="BKV11" s="178"/>
      <c r="BKW11" s="178"/>
      <c r="BKX11" s="178"/>
      <c r="BKY11" s="178"/>
      <c r="BKZ11" s="178"/>
      <c r="BLA11" s="178"/>
      <c r="BLB11" s="178"/>
      <c r="BLC11" s="178"/>
      <c r="BLD11" s="178"/>
      <c r="BLE11" s="178"/>
      <c r="BLF11" s="178"/>
      <c r="BLG11" s="178"/>
      <c r="BLH11" s="178"/>
      <c r="BLI11" s="178"/>
      <c r="BLJ11" s="178"/>
      <c r="BLK11" s="178"/>
      <c r="BLL11" s="178"/>
      <c r="BLM11" s="178"/>
      <c r="BLN11" s="178"/>
      <c r="BLO11" s="178"/>
      <c r="BLP11" s="178"/>
      <c r="BLQ11" s="178"/>
      <c r="BLR11" s="178"/>
      <c r="BLS11" s="178"/>
      <c r="BLT11" s="178"/>
      <c r="BLU11" s="178"/>
      <c r="BLV11" s="178"/>
      <c r="BLW11" s="178"/>
      <c r="BLX11" s="178"/>
      <c r="BLY11" s="178"/>
      <c r="BLZ11" s="178"/>
      <c r="BMA11" s="178"/>
      <c r="BMB11" s="178"/>
      <c r="BMC11" s="178"/>
      <c r="BMD11" s="178"/>
      <c r="BME11" s="178"/>
      <c r="BMF11" s="178"/>
      <c r="BMG11" s="178"/>
      <c r="BMH11" s="178"/>
      <c r="BMI11" s="178"/>
      <c r="BMJ11" s="178"/>
      <c r="BMK11" s="178"/>
      <c r="BML11" s="178"/>
      <c r="BMM11" s="178"/>
      <c r="BMN11" s="178"/>
      <c r="BMO11" s="178"/>
      <c r="BMP11" s="178"/>
      <c r="BMQ11" s="178"/>
      <c r="BMR11" s="178"/>
      <c r="BMS11" s="178"/>
      <c r="BMT11" s="178"/>
      <c r="BMU11" s="178"/>
      <c r="BMV11" s="178"/>
      <c r="BMW11" s="178"/>
      <c r="BMX11" s="178"/>
      <c r="BMY11" s="178"/>
      <c r="BMZ11" s="178"/>
      <c r="BNA11" s="178"/>
      <c r="BNB11" s="178"/>
      <c r="BNC11" s="178"/>
      <c r="BND11" s="178"/>
      <c r="BNE11" s="178"/>
      <c r="BNF11" s="178"/>
      <c r="BNG11" s="178"/>
      <c r="BNH11" s="178"/>
      <c r="BNI11" s="178"/>
      <c r="BNJ11" s="178"/>
      <c r="BNK11" s="178"/>
      <c r="BNL11" s="178"/>
      <c r="BNM11" s="178"/>
      <c r="BNN11" s="178"/>
      <c r="BNO11" s="178"/>
      <c r="BNP11" s="178"/>
      <c r="BNQ11" s="178"/>
      <c r="BNR11" s="178"/>
      <c r="BNS11" s="178"/>
      <c r="BNT11" s="178"/>
      <c r="BNU11" s="178"/>
      <c r="BNV11" s="178"/>
      <c r="BNW11" s="178"/>
      <c r="BNX11" s="178"/>
      <c r="BNY11" s="178"/>
      <c r="BNZ11" s="178"/>
      <c r="BOA11" s="178"/>
      <c r="BOB11" s="178"/>
      <c r="BOC11" s="178"/>
      <c r="BOD11" s="178"/>
      <c r="BOE11" s="178"/>
      <c r="BOF11" s="178"/>
      <c r="BOG11" s="178"/>
      <c r="BOH11" s="178"/>
      <c r="BOI11" s="178"/>
      <c r="BOJ11" s="178"/>
      <c r="BOK11" s="178"/>
      <c r="BOL11" s="178"/>
      <c r="BOM11" s="178"/>
      <c r="BON11" s="178"/>
      <c r="BOO11" s="178"/>
      <c r="BOP11" s="178"/>
      <c r="BOQ11" s="178"/>
      <c r="BOR11" s="178"/>
      <c r="BOS11" s="178"/>
      <c r="BOT11" s="178"/>
      <c r="BOU11" s="178"/>
      <c r="BOV11" s="178"/>
      <c r="BOW11" s="178"/>
      <c r="BOX11" s="178"/>
      <c r="BOY11" s="178"/>
      <c r="BOZ11" s="178"/>
      <c r="BPA11" s="178"/>
      <c r="BPB11" s="178"/>
      <c r="BPC11" s="178"/>
      <c r="BPD11" s="178"/>
      <c r="BPE11" s="178"/>
      <c r="BPF11" s="178"/>
      <c r="BPG11" s="178"/>
      <c r="BPH11" s="178"/>
      <c r="BPI11" s="178"/>
      <c r="BPJ11" s="178"/>
      <c r="BPK11" s="178"/>
      <c r="BPL11" s="178"/>
      <c r="BPM11" s="178"/>
      <c r="BPN11" s="178"/>
      <c r="BPO11" s="178"/>
      <c r="BPP11" s="178"/>
      <c r="BPQ11" s="178"/>
      <c r="BPR11" s="178"/>
      <c r="BPS11" s="178"/>
      <c r="BPT11" s="178"/>
      <c r="BPU11" s="178"/>
      <c r="BPV11" s="178"/>
      <c r="BPW11" s="178"/>
      <c r="BPX11" s="178"/>
      <c r="BPY11" s="178"/>
      <c r="BPZ11" s="178"/>
      <c r="BQA11" s="178"/>
      <c r="BQB11" s="178"/>
      <c r="BQC11" s="178"/>
      <c r="BQD11" s="178"/>
      <c r="BQE11" s="178"/>
      <c r="BQF11" s="178"/>
      <c r="BQG11" s="178"/>
      <c r="BQH11" s="178"/>
      <c r="BQI11" s="178"/>
      <c r="BQJ11" s="178"/>
      <c r="BQK11" s="178"/>
      <c r="BQL11" s="178"/>
      <c r="BQM11" s="178"/>
      <c r="BQN11" s="178"/>
      <c r="BQO11" s="178"/>
      <c r="BQP11" s="178"/>
      <c r="BQQ11" s="178"/>
      <c r="BQR11" s="178"/>
      <c r="BQS11" s="178"/>
      <c r="BQT11" s="178"/>
      <c r="BQU11" s="178"/>
      <c r="BQV11" s="178"/>
      <c r="BQW11" s="178"/>
      <c r="BQX11" s="178"/>
      <c r="BQY11" s="178"/>
      <c r="BQZ11" s="178"/>
      <c r="BRA11" s="178"/>
      <c r="BRB11" s="178"/>
      <c r="BRC11" s="178"/>
      <c r="BRD11" s="178"/>
      <c r="BRE11" s="178"/>
      <c r="BRF11" s="178"/>
      <c r="BRG11" s="178"/>
      <c r="BRH11" s="178"/>
      <c r="BRI11" s="178"/>
      <c r="BRJ11" s="178"/>
      <c r="BRK11" s="178"/>
      <c r="BRL11" s="178"/>
      <c r="BRM11" s="178"/>
      <c r="BRN11" s="178"/>
      <c r="BRO11" s="178"/>
      <c r="BRP11" s="178"/>
      <c r="BRQ11" s="178"/>
      <c r="BRR11" s="178"/>
      <c r="BRS11" s="178"/>
      <c r="BRT11" s="178"/>
      <c r="BRU11" s="178"/>
      <c r="BRV11" s="178"/>
      <c r="BRW11" s="178"/>
      <c r="BRX11" s="178"/>
      <c r="BRY11" s="178"/>
      <c r="BRZ11" s="178"/>
      <c r="BSA11" s="178"/>
      <c r="BSB11" s="178"/>
      <c r="BSC11" s="178"/>
      <c r="BSD11" s="178"/>
      <c r="BSE11" s="178"/>
      <c r="BSF11" s="178"/>
      <c r="BSG11" s="178"/>
      <c r="BSH11" s="178"/>
      <c r="BSI11" s="178"/>
      <c r="BSJ11" s="178"/>
      <c r="BSK11" s="178"/>
      <c r="BSL11" s="178"/>
      <c r="BSM11" s="178"/>
      <c r="BSN11" s="178"/>
      <c r="BSO11" s="178"/>
      <c r="BSP11" s="178"/>
      <c r="BSQ11" s="178"/>
      <c r="BSR11" s="178"/>
      <c r="BSS11" s="178"/>
      <c r="BST11" s="178"/>
      <c r="BSU11" s="178"/>
      <c r="BSV11" s="178"/>
      <c r="BSW11" s="178"/>
      <c r="BSX11" s="178"/>
      <c r="BSY11" s="178"/>
      <c r="BSZ11" s="178"/>
      <c r="BTA11" s="178"/>
      <c r="BTB11" s="178"/>
      <c r="BTC11" s="178"/>
      <c r="BTD11" s="178"/>
      <c r="BTE11" s="178"/>
      <c r="BTF11" s="178"/>
      <c r="BTG11" s="178"/>
      <c r="BTH11" s="178"/>
      <c r="BTI11" s="178"/>
      <c r="BTJ11" s="178"/>
      <c r="BTK11" s="178"/>
      <c r="BTL11" s="178"/>
      <c r="BTM11" s="178"/>
      <c r="BTN11" s="178"/>
      <c r="BTO11" s="178"/>
      <c r="BTP11" s="178"/>
      <c r="BTQ11" s="178"/>
      <c r="BTR11" s="178"/>
      <c r="BTS11" s="178"/>
      <c r="BTT11" s="178"/>
      <c r="BTU11" s="178"/>
      <c r="BTV11" s="178"/>
      <c r="BTW11" s="178"/>
      <c r="BTX11" s="178"/>
      <c r="BTY11" s="178"/>
      <c r="BTZ11" s="178"/>
      <c r="BUA11" s="178"/>
      <c r="BUB11" s="178"/>
      <c r="BUC11" s="178"/>
      <c r="BUD11" s="178"/>
      <c r="BUE11" s="178"/>
      <c r="BUF11" s="178"/>
      <c r="BUG11" s="178"/>
      <c r="BUH11" s="178"/>
      <c r="BUI11" s="178"/>
      <c r="BUJ11" s="178"/>
      <c r="BUK11" s="178"/>
      <c r="BUL11" s="178"/>
      <c r="BUM11" s="178"/>
      <c r="BUN11" s="178"/>
      <c r="BUO11" s="178"/>
      <c r="BUP11" s="178"/>
      <c r="BUQ11" s="178"/>
      <c r="BUR11" s="178"/>
      <c r="BUS11" s="178"/>
      <c r="BUT11" s="178"/>
      <c r="BUU11" s="178"/>
      <c r="BUV11" s="178"/>
      <c r="BUW11" s="178"/>
      <c r="BUX11" s="178"/>
      <c r="BUY11" s="178"/>
      <c r="BUZ11" s="178"/>
      <c r="BVA11" s="178"/>
      <c r="BVB11" s="178"/>
      <c r="BVC11" s="178"/>
      <c r="BVD11" s="178"/>
      <c r="BVE11" s="178"/>
      <c r="BVF11" s="178"/>
      <c r="BVG11" s="178"/>
      <c r="BVH11" s="178"/>
      <c r="BVI11" s="178"/>
      <c r="BVJ11" s="178"/>
      <c r="BVK11" s="178"/>
      <c r="BVL11" s="178"/>
      <c r="BVM11" s="178"/>
      <c r="BVN11" s="178"/>
      <c r="BVO11" s="178"/>
      <c r="BVP11" s="178"/>
      <c r="BVQ11" s="178"/>
      <c r="BVR11" s="178"/>
      <c r="BVS11" s="178"/>
      <c r="BVT11" s="178"/>
      <c r="BVU11" s="178"/>
      <c r="BVV11" s="178"/>
      <c r="BVW11" s="178"/>
      <c r="BVX11" s="178"/>
      <c r="BVY11" s="178"/>
      <c r="BVZ11" s="178"/>
      <c r="BWA11" s="178"/>
      <c r="BWB11" s="178"/>
      <c r="BWC11" s="178"/>
      <c r="BWD11" s="178"/>
      <c r="BWE11" s="178"/>
      <c r="BWF11" s="178"/>
      <c r="BWG11" s="178"/>
      <c r="BWH11" s="178"/>
      <c r="BWI11" s="178"/>
      <c r="BWJ11" s="178"/>
      <c r="BWK11" s="178"/>
      <c r="BWL11" s="178"/>
      <c r="BWM11" s="178"/>
      <c r="BWN11" s="178"/>
      <c r="BWO11" s="178"/>
      <c r="BWP11" s="178"/>
      <c r="BWQ11" s="178"/>
      <c r="BWR11" s="178"/>
      <c r="BWS11" s="178"/>
      <c r="BWT11" s="178"/>
      <c r="BWU11" s="178"/>
      <c r="BWV11" s="178"/>
      <c r="BWW11" s="178"/>
      <c r="BWX11" s="178"/>
      <c r="BWY11" s="178"/>
      <c r="BWZ11" s="178"/>
      <c r="BXA11" s="178"/>
      <c r="BXB11" s="178"/>
      <c r="BXC11" s="178"/>
      <c r="BXD11" s="178"/>
      <c r="BXE11" s="178"/>
      <c r="BXF11" s="178"/>
      <c r="BXG11" s="178"/>
      <c r="BXH11" s="178"/>
      <c r="BXI11" s="178"/>
      <c r="BXJ11" s="178"/>
      <c r="BXK11" s="178"/>
      <c r="BXL11" s="178"/>
      <c r="BXM11" s="178"/>
      <c r="BXN11" s="178"/>
      <c r="BXO11" s="178"/>
      <c r="BXP11" s="178"/>
      <c r="BXQ11" s="178"/>
      <c r="BXR11" s="178"/>
      <c r="BXS11" s="178"/>
      <c r="BXT11" s="178"/>
      <c r="BXU11" s="178"/>
      <c r="BXV11" s="178"/>
      <c r="BXW11" s="178"/>
      <c r="BXX11" s="178"/>
      <c r="BXY11" s="178"/>
      <c r="BXZ11" s="178"/>
      <c r="BYA11" s="178"/>
      <c r="BYB11" s="178"/>
      <c r="BYC11" s="178"/>
      <c r="BYD11" s="178"/>
      <c r="BYE11" s="178"/>
      <c r="BYF11" s="178"/>
      <c r="BYG11" s="178"/>
      <c r="BYH11" s="178"/>
      <c r="BYI11" s="178"/>
      <c r="BYJ11" s="178"/>
      <c r="BYK11" s="178"/>
      <c r="BYL11" s="178"/>
      <c r="BYM11" s="178"/>
      <c r="BYN11" s="178"/>
      <c r="BYO11" s="178"/>
      <c r="BYP11" s="178"/>
      <c r="BYQ11" s="178"/>
      <c r="BYR11" s="178"/>
      <c r="BYS11" s="178"/>
      <c r="BYT11" s="178"/>
      <c r="BYU11" s="178"/>
      <c r="BYV11" s="178"/>
      <c r="BYW11" s="178"/>
      <c r="BYX11" s="178"/>
      <c r="BYY11" s="178"/>
      <c r="BYZ11" s="178"/>
      <c r="BZA11" s="178"/>
      <c r="BZB11" s="178"/>
      <c r="BZC11" s="178"/>
      <c r="BZD11" s="178"/>
      <c r="BZE11" s="178"/>
      <c r="BZF11" s="178"/>
      <c r="BZG11" s="178"/>
      <c r="BZH11" s="178"/>
      <c r="BZI11" s="178"/>
      <c r="BZJ11" s="178"/>
      <c r="BZK11" s="178"/>
      <c r="BZL11" s="178"/>
      <c r="BZM11" s="178"/>
      <c r="BZN11" s="178"/>
      <c r="BZO11" s="178"/>
      <c r="BZP11" s="178"/>
      <c r="BZQ11" s="178"/>
      <c r="BZR11" s="178"/>
      <c r="BZS11" s="178"/>
      <c r="BZT11" s="178"/>
      <c r="BZU11" s="178"/>
      <c r="BZV11" s="178"/>
      <c r="BZW11" s="178"/>
      <c r="BZX11" s="178"/>
      <c r="BZY11" s="178"/>
      <c r="BZZ11" s="178"/>
      <c r="CAA11" s="178"/>
      <c r="CAB11" s="178"/>
      <c r="CAC11" s="178"/>
      <c r="CAD11" s="178"/>
      <c r="CAE11" s="178"/>
      <c r="CAF11" s="178"/>
      <c r="CAG11" s="178"/>
      <c r="CAH11" s="178"/>
      <c r="CAI11" s="178"/>
      <c r="CAJ11" s="178"/>
      <c r="CAK11" s="178"/>
      <c r="CAL11" s="178"/>
      <c r="CAM11" s="178"/>
      <c r="CAN11" s="178"/>
      <c r="CAO11" s="178"/>
      <c r="CAP11" s="178"/>
      <c r="CAQ11" s="178"/>
      <c r="CAR11" s="178"/>
      <c r="CAS11" s="178"/>
      <c r="CAT11" s="178"/>
      <c r="CAU11" s="178"/>
      <c r="CAV11" s="178"/>
      <c r="CAW11" s="178"/>
      <c r="CAX11" s="178"/>
      <c r="CAY11" s="178"/>
      <c r="CAZ11" s="178"/>
      <c r="CBA11" s="178"/>
      <c r="CBB11" s="178"/>
      <c r="CBC11" s="178"/>
      <c r="CBD11" s="178"/>
      <c r="CBE11" s="178"/>
      <c r="CBF11" s="178"/>
      <c r="CBG11" s="178"/>
      <c r="CBH11" s="178"/>
      <c r="CBI11" s="178"/>
      <c r="CBJ11" s="178"/>
      <c r="CBK11" s="178"/>
      <c r="CBL11" s="178"/>
      <c r="CBM11" s="178"/>
      <c r="CBN11" s="178"/>
      <c r="CBO11" s="178"/>
      <c r="CBP11" s="178"/>
      <c r="CBQ11" s="178"/>
      <c r="CBR11" s="178"/>
      <c r="CBS11" s="178"/>
      <c r="CBT11" s="178"/>
      <c r="CBU11" s="178"/>
      <c r="CBV11" s="178"/>
      <c r="CBW11" s="178"/>
      <c r="CBX11" s="178"/>
      <c r="CBY11" s="178"/>
      <c r="CBZ11" s="178"/>
      <c r="CCA11" s="178"/>
      <c r="CCB11" s="178"/>
      <c r="CCC11" s="178"/>
      <c r="CCD11" s="178"/>
      <c r="CCE11" s="178"/>
      <c r="CCF11" s="178"/>
      <c r="CCG11" s="178"/>
      <c r="CCH11" s="178"/>
      <c r="CCI11" s="178"/>
      <c r="CCJ11" s="178"/>
      <c r="CCK11" s="178"/>
      <c r="CCL11" s="178"/>
      <c r="CCM11" s="178"/>
      <c r="CCN11" s="178"/>
      <c r="CCO11" s="178"/>
      <c r="CCP11" s="178"/>
      <c r="CCQ11" s="178"/>
      <c r="CCR11" s="178"/>
      <c r="CCS11" s="178"/>
      <c r="CCT11" s="178"/>
      <c r="CCU11" s="178"/>
      <c r="CCV11" s="178"/>
      <c r="CCW11" s="178"/>
      <c r="CCX11" s="178"/>
      <c r="CCY11" s="178"/>
      <c r="CCZ11" s="178"/>
      <c r="CDA11" s="178"/>
      <c r="CDB11" s="178"/>
      <c r="CDC11" s="178"/>
      <c r="CDD11" s="178"/>
      <c r="CDE11" s="178"/>
      <c r="CDF11" s="178"/>
      <c r="CDG11" s="178"/>
      <c r="CDH11" s="178"/>
      <c r="CDI11" s="178"/>
      <c r="CDJ11" s="178"/>
      <c r="CDK11" s="178"/>
      <c r="CDL11" s="178"/>
      <c r="CDM11" s="178"/>
      <c r="CDN11" s="178"/>
      <c r="CDO11" s="178"/>
      <c r="CDP11" s="178"/>
      <c r="CDQ11" s="178"/>
      <c r="CDR11" s="178"/>
      <c r="CDS11" s="178"/>
      <c r="CDT11" s="178"/>
      <c r="CDU11" s="178"/>
      <c r="CDV11" s="178"/>
      <c r="CDW11" s="178"/>
      <c r="CDX11" s="178"/>
      <c r="CDY11" s="178"/>
      <c r="CDZ11" s="178"/>
      <c r="CEA11" s="178"/>
      <c r="CEB11" s="178"/>
      <c r="CEC11" s="178"/>
      <c r="CED11" s="178"/>
      <c r="CEE11" s="178"/>
      <c r="CEF11" s="178"/>
      <c r="CEG11" s="178"/>
      <c r="CEH11" s="178"/>
      <c r="CEI11" s="178"/>
      <c r="CEJ11" s="178"/>
      <c r="CEK11" s="178"/>
      <c r="CEL11" s="178"/>
      <c r="CEM11" s="178"/>
      <c r="CEN11" s="178"/>
      <c r="CEO11" s="178"/>
      <c r="CEP11" s="178"/>
      <c r="CEQ11" s="178"/>
      <c r="CER11" s="178"/>
      <c r="CES11" s="178"/>
      <c r="CET11" s="178"/>
      <c r="CEU11" s="178"/>
      <c r="CEV11" s="178"/>
      <c r="CEW11" s="178"/>
      <c r="CEX11" s="178"/>
      <c r="CEY11" s="178"/>
      <c r="CEZ11" s="178"/>
      <c r="CFA11" s="178"/>
      <c r="CFB11" s="178"/>
      <c r="CFC11" s="178"/>
      <c r="CFD11" s="178"/>
      <c r="CFE11" s="178"/>
      <c r="CFF11" s="178"/>
      <c r="CFG11" s="178"/>
      <c r="CFH11" s="178"/>
      <c r="CFI11" s="178"/>
      <c r="CFJ11" s="178"/>
      <c r="CFK11" s="178"/>
      <c r="CFL11" s="178"/>
      <c r="CFM11" s="178"/>
      <c r="CFN11" s="178"/>
      <c r="CFO11" s="178"/>
      <c r="CFP11" s="178"/>
      <c r="CFQ11" s="178"/>
      <c r="CFR11" s="178"/>
      <c r="CFS11" s="178"/>
      <c r="CFT11" s="178"/>
      <c r="CFU11" s="178"/>
      <c r="CFV11" s="178"/>
      <c r="CFW11" s="178"/>
      <c r="CFX11" s="178"/>
      <c r="CFY11" s="178"/>
      <c r="CFZ11" s="178"/>
      <c r="CGA11" s="178"/>
      <c r="CGB11" s="178"/>
      <c r="CGC11" s="178"/>
      <c r="CGD11" s="178"/>
      <c r="CGE11" s="178"/>
      <c r="CGF11" s="178"/>
      <c r="CGG11" s="178"/>
      <c r="CGH11" s="178"/>
      <c r="CGI11" s="178"/>
      <c r="CGJ11" s="178"/>
      <c r="CGK11" s="178"/>
      <c r="CGL11" s="178"/>
      <c r="CGM11" s="178"/>
      <c r="CGN11" s="178"/>
      <c r="CGO11" s="178"/>
      <c r="CGP11" s="178"/>
      <c r="CGQ11" s="178"/>
      <c r="CGR11" s="178"/>
      <c r="CGS11" s="178"/>
      <c r="CGT11" s="178"/>
      <c r="CGU11" s="178"/>
      <c r="CGV11" s="178"/>
      <c r="CGW11" s="178"/>
      <c r="CGX11" s="178"/>
      <c r="CGY11" s="178"/>
      <c r="CGZ11" s="178"/>
      <c r="CHA11" s="178"/>
      <c r="CHB11" s="178"/>
      <c r="CHC11" s="178"/>
      <c r="CHD11" s="178"/>
      <c r="CHE11" s="178"/>
      <c r="CHF11" s="178"/>
      <c r="CHG11" s="178"/>
      <c r="CHH11" s="178"/>
      <c r="CHI11" s="178"/>
      <c r="CHJ11" s="178"/>
      <c r="CHK11" s="178"/>
      <c r="CHL11" s="178"/>
      <c r="CHM11" s="178"/>
      <c r="CHN11" s="178"/>
      <c r="CHO11" s="178"/>
      <c r="CHP11" s="178"/>
      <c r="CHQ11" s="178"/>
      <c r="CHR11" s="178"/>
      <c r="CHS11" s="178"/>
      <c r="CHT11" s="178"/>
      <c r="CHU11" s="178"/>
      <c r="CHV11" s="178"/>
      <c r="CHW11" s="178"/>
      <c r="CHX11" s="178"/>
      <c r="CHY11" s="178"/>
      <c r="CHZ11" s="178"/>
      <c r="CIA11" s="178"/>
      <c r="CIB11" s="178"/>
      <c r="CIC11" s="178"/>
      <c r="CID11" s="178"/>
      <c r="CIE11" s="178"/>
      <c r="CIF11" s="178"/>
      <c r="CIG11" s="178"/>
      <c r="CIH11" s="178"/>
      <c r="CII11" s="178"/>
      <c r="CIJ11" s="178"/>
      <c r="CIK11" s="178"/>
      <c r="CIL11" s="178"/>
      <c r="CIM11" s="178"/>
      <c r="CIN11" s="178"/>
      <c r="CIO11" s="178"/>
      <c r="CIP11" s="178"/>
      <c r="CIQ11" s="178"/>
      <c r="CIR11" s="178"/>
      <c r="CIS11" s="178"/>
      <c r="CIT11" s="178"/>
      <c r="CIU11" s="178"/>
      <c r="CIV11" s="178"/>
      <c r="CIW11" s="178"/>
      <c r="CIX11" s="178"/>
      <c r="CIY11" s="178"/>
      <c r="CIZ11" s="178"/>
      <c r="CJA11" s="178"/>
      <c r="CJB11" s="178"/>
      <c r="CJC11" s="178"/>
      <c r="CJD11" s="178"/>
      <c r="CJE11" s="178"/>
      <c r="CJF11" s="178"/>
      <c r="CJG11" s="178"/>
      <c r="CJH11" s="178"/>
      <c r="CJI11" s="178"/>
      <c r="CJJ11" s="178"/>
      <c r="CJK11" s="178"/>
      <c r="CJL11" s="178"/>
      <c r="CJM11" s="178"/>
      <c r="CJN11" s="178"/>
      <c r="CJO11" s="178"/>
      <c r="CJP11" s="178"/>
      <c r="CJQ11" s="178"/>
      <c r="CJR11" s="178"/>
      <c r="CJS11" s="178"/>
      <c r="CJT11" s="178"/>
      <c r="CJU11" s="178"/>
      <c r="CJV11" s="178"/>
      <c r="CJW11" s="178"/>
      <c r="CJX11" s="178"/>
      <c r="CJY11" s="178"/>
      <c r="CJZ11" s="178"/>
      <c r="CKA11" s="178"/>
      <c r="CKB11" s="178"/>
      <c r="CKC11" s="178"/>
      <c r="CKD11" s="178"/>
      <c r="CKE11" s="178"/>
      <c r="CKF11" s="178"/>
      <c r="CKG11" s="178"/>
      <c r="CKH11" s="178"/>
      <c r="CKI11" s="178"/>
      <c r="CKJ11" s="178"/>
      <c r="CKK11" s="178"/>
      <c r="CKL11" s="178"/>
      <c r="CKM11" s="178"/>
      <c r="CKN11" s="178"/>
      <c r="CKO11" s="178"/>
      <c r="CKP11" s="178"/>
      <c r="CKQ11" s="178"/>
      <c r="CKR11" s="178"/>
      <c r="CKS11" s="178"/>
      <c r="CKT11" s="178"/>
      <c r="CKU11" s="178"/>
      <c r="CKV11" s="178"/>
      <c r="CKW11" s="178"/>
      <c r="CKX11" s="178"/>
      <c r="CKY11" s="178"/>
      <c r="CKZ11" s="178"/>
      <c r="CLA11" s="178"/>
      <c r="CLB11" s="178"/>
      <c r="CLC11" s="178"/>
      <c r="CLD11" s="178"/>
      <c r="CLE11" s="178"/>
      <c r="CLF11" s="178"/>
      <c r="CLG11" s="178"/>
      <c r="CLH11" s="178"/>
      <c r="CLI11" s="178"/>
      <c r="CLJ11" s="178"/>
      <c r="CLK11" s="178"/>
      <c r="CLL11" s="178"/>
      <c r="CLM11" s="178"/>
      <c r="CLN11" s="178"/>
      <c r="CLO11" s="178"/>
      <c r="CLP11" s="178"/>
      <c r="CLQ11" s="178"/>
      <c r="CLR11" s="178"/>
      <c r="CLS11" s="178"/>
      <c r="CLT11" s="178"/>
      <c r="CLU11" s="178"/>
      <c r="CLV11" s="178"/>
      <c r="CLW11" s="178"/>
      <c r="CLX11" s="178"/>
      <c r="CLY11" s="178"/>
      <c r="CLZ11" s="178"/>
      <c r="CMA11" s="178"/>
      <c r="CMB11" s="178"/>
      <c r="CMC11" s="178"/>
      <c r="CMD11" s="178"/>
      <c r="CME11" s="178"/>
      <c r="CMF11" s="178"/>
      <c r="CMG11" s="178"/>
      <c r="CMH11" s="178"/>
      <c r="CMI11" s="178"/>
      <c r="CMJ11" s="178"/>
      <c r="CMK11" s="178"/>
      <c r="CML11" s="178"/>
      <c r="CMM11" s="178"/>
      <c r="CMN11" s="178"/>
      <c r="CMO11" s="178"/>
      <c r="CMP11" s="178"/>
      <c r="CMQ11" s="178"/>
      <c r="CMR11" s="178"/>
      <c r="CMS11" s="178"/>
      <c r="CMT11" s="178"/>
      <c r="CMU11" s="178"/>
      <c r="CMV11" s="178"/>
      <c r="CMW11" s="178"/>
      <c r="CMX11" s="178"/>
      <c r="CMY11" s="178"/>
      <c r="CMZ11" s="178"/>
      <c r="CNA11" s="178"/>
      <c r="CNB11" s="178"/>
      <c r="CNC11" s="178"/>
      <c r="CND11" s="178"/>
      <c r="CNE11" s="178"/>
      <c r="CNF11" s="178"/>
      <c r="CNG11" s="178"/>
      <c r="CNH11" s="178"/>
      <c r="CNI11" s="178"/>
      <c r="CNJ11" s="178"/>
      <c r="CNK11" s="178"/>
      <c r="CNL11" s="178"/>
      <c r="CNM11" s="178"/>
      <c r="CNN11" s="178"/>
      <c r="CNO11" s="178"/>
      <c r="CNP11" s="178"/>
      <c r="CNQ11" s="178"/>
      <c r="CNR11" s="178"/>
      <c r="CNS11" s="178"/>
      <c r="CNT11" s="178"/>
      <c r="CNU11" s="178"/>
      <c r="CNV11" s="178"/>
      <c r="CNW11" s="178"/>
      <c r="CNX11" s="178"/>
      <c r="CNY11" s="178"/>
      <c r="CNZ11" s="178"/>
      <c r="COA11" s="178"/>
      <c r="COB11" s="178"/>
      <c r="COC11" s="178"/>
      <c r="COD11" s="178"/>
      <c r="COE11" s="178"/>
      <c r="COF11" s="178"/>
      <c r="COG11" s="178"/>
      <c r="COH11" s="178"/>
      <c r="COI11" s="178"/>
      <c r="COJ11" s="178"/>
      <c r="COK11" s="178"/>
      <c r="COL11" s="178"/>
      <c r="COM11" s="178"/>
      <c r="CON11" s="178"/>
      <c r="COO11" s="178"/>
      <c r="COP11" s="178"/>
      <c r="COQ11" s="178"/>
      <c r="COR11" s="178"/>
      <c r="COS11" s="178"/>
      <c r="COT11" s="178"/>
      <c r="COU11" s="178"/>
      <c r="COV11" s="178"/>
      <c r="COW11" s="178"/>
      <c r="COX11" s="178"/>
      <c r="COY11" s="178"/>
      <c r="COZ11" s="178"/>
      <c r="CPA11" s="178"/>
      <c r="CPB11" s="178"/>
      <c r="CPC11" s="178"/>
      <c r="CPD11" s="178"/>
      <c r="CPE11" s="178"/>
      <c r="CPF11" s="178"/>
      <c r="CPG11" s="178"/>
      <c r="CPH11" s="178"/>
      <c r="CPI11" s="178"/>
      <c r="CPJ11" s="178"/>
      <c r="CPK11" s="178"/>
      <c r="CPL11" s="178"/>
      <c r="CPM11" s="178"/>
      <c r="CPN11" s="178"/>
      <c r="CPO11" s="178"/>
      <c r="CPP11" s="178"/>
      <c r="CPQ11" s="178"/>
      <c r="CPR11" s="178"/>
      <c r="CPS11" s="178"/>
      <c r="CPT11" s="178"/>
      <c r="CPU11" s="178"/>
      <c r="CPV11" s="178"/>
      <c r="CPW11" s="178"/>
      <c r="CPX11" s="178"/>
      <c r="CPY11" s="178"/>
      <c r="CPZ11" s="178"/>
      <c r="CQA11" s="178"/>
      <c r="CQB11" s="178"/>
      <c r="CQC11" s="178"/>
      <c r="CQD11" s="178"/>
      <c r="CQE11" s="178"/>
      <c r="CQF11" s="178"/>
      <c r="CQG11" s="178"/>
      <c r="CQH11" s="178"/>
      <c r="CQI11" s="178"/>
      <c r="CQJ11" s="178"/>
      <c r="CQK11" s="178"/>
      <c r="CQL11" s="178"/>
      <c r="CQM11" s="178"/>
      <c r="CQN11" s="178"/>
      <c r="CQO11" s="178"/>
      <c r="CQP11" s="178"/>
      <c r="CQQ11" s="178"/>
      <c r="CQR11" s="178"/>
      <c r="CQS11" s="178"/>
      <c r="CQT11" s="178"/>
      <c r="CQU11" s="178"/>
      <c r="CQV11" s="178"/>
      <c r="CQW11" s="178"/>
      <c r="CQX11" s="178"/>
      <c r="CQY11" s="178"/>
      <c r="CQZ11" s="178"/>
      <c r="CRA11" s="178"/>
      <c r="CRB11" s="178"/>
      <c r="CRC11" s="178"/>
      <c r="CRD11" s="178"/>
      <c r="CRE11" s="178"/>
      <c r="CRF11" s="178"/>
      <c r="CRG11" s="178"/>
      <c r="CRH11" s="178"/>
      <c r="CRI11" s="178"/>
      <c r="CRJ11" s="178"/>
      <c r="CRK11" s="178"/>
      <c r="CRL11" s="178"/>
      <c r="CRM11" s="178"/>
      <c r="CRN11" s="178"/>
      <c r="CRO11" s="178"/>
      <c r="CRP11" s="178"/>
      <c r="CRQ11" s="178"/>
      <c r="CRR11" s="178"/>
      <c r="CRS11" s="178"/>
      <c r="CRT11" s="178"/>
      <c r="CRU11" s="178"/>
      <c r="CRV11" s="178"/>
      <c r="CRW11" s="178"/>
      <c r="CRX11" s="178"/>
      <c r="CRY11" s="178"/>
      <c r="CRZ11" s="178"/>
      <c r="CSA11" s="178"/>
      <c r="CSB11" s="178"/>
      <c r="CSC11" s="178"/>
      <c r="CSD11" s="178"/>
      <c r="CSE11" s="178"/>
      <c r="CSF11" s="178"/>
      <c r="CSG11" s="178"/>
      <c r="CSH11" s="178"/>
      <c r="CSI11" s="178"/>
      <c r="CSJ11" s="178"/>
      <c r="CSK11" s="178"/>
      <c r="CSL11" s="178"/>
      <c r="CSM11" s="178"/>
      <c r="CSN11" s="178"/>
      <c r="CSO11" s="178"/>
      <c r="CSP11" s="178"/>
      <c r="CSQ11" s="178"/>
      <c r="CSR11" s="178"/>
      <c r="CSS11" s="178"/>
      <c r="CST11" s="178"/>
      <c r="CSU11" s="178"/>
      <c r="CSV11" s="178"/>
      <c r="CSW11" s="178"/>
      <c r="CSX11" s="178"/>
      <c r="CSY11" s="178"/>
      <c r="CSZ11" s="178"/>
      <c r="CTA11" s="178"/>
      <c r="CTB11" s="178"/>
      <c r="CTC11" s="178"/>
      <c r="CTD11" s="178"/>
      <c r="CTE11" s="178"/>
      <c r="CTF11" s="178"/>
      <c r="CTG11" s="178"/>
      <c r="CTH11" s="178"/>
      <c r="CTI11" s="178"/>
      <c r="CTJ11" s="178"/>
      <c r="CTK11" s="178"/>
      <c r="CTL11" s="178"/>
      <c r="CTM11" s="178"/>
      <c r="CTN11" s="178"/>
      <c r="CTO11" s="178"/>
      <c r="CTP11" s="178"/>
      <c r="CTQ11" s="178"/>
      <c r="CTR11" s="178"/>
      <c r="CTS11" s="178"/>
      <c r="CTT11" s="178"/>
      <c r="CTU11" s="178"/>
      <c r="CTV11" s="178"/>
      <c r="CTW11" s="178"/>
      <c r="CTX11" s="178"/>
      <c r="CTY11" s="178"/>
      <c r="CTZ11" s="178"/>
      <c r="CUA11" s="178"/>
      <c r="CUB11" s="178"/>
      <c r="CUC11" s="178"/>
      <c r="CUD11" s="178"/>
      <c r="CUE11" s="178"/>
      <c r="CUF11" s="178"/>
      <c r="CUG11" s="178"/>
      <c r="CUH11" s="178"/>
      <c r="CUI11" s="178"/>
      <c r="CUJ11" s="178"/>
      <c r="CUK11" s="178"/>
      <c r="CUL11" s="178"/>
      <c r="CUM11" s="178"/>
      <c r="CUN11" s="178"/>
      <c r="CUO11" s="178"/>
      <c r="CUP11" s="178"/>
      <c r="CUQ11" s="178"/>
      <c r="CUR11" s="178"/>
      <c r="CUS11" s="178"/>
      <c r="CUT11" s="178"/>
      <c r="CUU11" s="178"/>
      <c r="CUV11" s="178"/>
      <c r="CUW11" s="178"/>
      <c r="CUX11" s="178"/>
      <c r="CUY11" s="178"/>
      <c r="CUZ11" s="178"/>
      <c r="CVA11" s="178"/>
      <c r="CVB11" s="178"/>
      <c r="CVC11" s="178"/>
      <c r="CVD11" s="178"/>
      <c r="CVE11" s="178"/>
      <c r="CVF11" s="178"/>
      <c r="CVG11" s="178"/>
      <c r="CVH11" s="178"/>
      <c r="CVI11" s="178"/>
      <c r="CVJ11" s="178"/>
      <c r="CVK11" s="178"/>
      <c r="CVL11" s="178"/>
      <c r="CVM11" s="178"/>
      <c r="CVN11" s="178"/>
      <c r="CVO11" s="178"/>
      <c r="CVP11" s="178"/>
      <c r="CVQ11" s="178"/>
      <c r="CVR11" s="178"/>
      <c r="CVS11" s="178"/>
      <c r="CVT11" s="178"/>
      <c r="CVU11" s="178"/>
      <c r="CVV11" s="178"/>
      <c r="CVW11" s="178"/>
      <c r="CVX11" s="178"/>
      <c r="CVY11" s="178"/>
      <c r="CVZ11" s="178"/>
      <c r="CWA11" s="178"/>
      <c r="CWB11" s="178"/>
      <c r="CWC11" s="178"/>
      <c r="CWD11" s="178"/>
      <c r="CWE11" s="178"/>
      <c r="CWF11" s="178"/>
      <c r="CWG11" s="178"/>
      <c r="CWH11" s="178"/>
      <c r="CWI11" s="178"/>
      <c r="CWJ11" s="178"/>
      <c r="CWK11" s="178"/>
      <c r="CWL11" s="178"/>
      <c r="CWM11" s="178"/>
      <c r="CWN11" s="178"/>
      <c r="CWO11" s="178"/>
      <c r="CWP11" s="178"/>
      <c r="CWQ11" s="178"/>
      <c r="CWR11" s="178"/>
      <c r="CWS11" s="178"/>
      <c r="CWT11" s="178"/>
      <c r="CWU11" s="178"/>
      <c r="CWV11" s="178"/>
      <c r="CWW11" s="178"/>
      <c r="CWX11" s="178"/>
      <c r="CWY11" s="178"/>
      <c r="CWZ11" s="178"/>
      <c r="CXA11" s="178"/>
      <c r="CXB11" s="178"/>
      <c r="CXC11" s="178"/>
      <c r="CXD11" s="178"/>
      <c r="CXE11" s="178"/>
      <c r="CXF11" s="178"/>
      <c r="CXG11" s="178"/>
      <c r="CXH11" s="178"/>
      <c r="CXI11" s="178"/>
      <c r="CXJ11" s="178"/>
      <c r="CXK11" s="178"/>
      <c r="CXL11" s="178"/>
      <c r="CXM11" s="178"/>
      <c r="CXN11" s="178"/>
      <c r="CXO11" s="178"/>
      <c r="CXP11" s="178"/>
      <c r="CXQ11" s="178"/>
      <c r="CXR11" s="178"/>
      <c r="CXS11" s="178"/>
      <c r="CXT11" s="178"/>
      <c r="CXU11" s="178"/>
      <c r="CXV11" s="178"/>
      <c r="CXW11" s="178"/>
      <c r="CXX11" s="178"/>
      <c r="CXY11" s="178"/>
      <c r="CXZ11" s="178"/>
      <c r="CYA11" s="178"/>
      <c r="CYB11" s="178"/>
      <c r="CYC11" s="178"/>
      <c r="CYD11" s="178"/>
      <c r="CYE11" s="178"/>
      <c r="CYF11" s="178"/>
      <c r="CYG11" s="178"/>
      <c r="CYH11" s="178"/>
      <c r="CYI11" s="178"/>
      <c r="CYJ11" s="178"/>
      <c r="CYK11" s="178"/>
      <c r="CYL11" s="178"/>
      <c r="CYM11" s="178"/>
      <c r="CYN11" s="178"/>
      <c r="CYO11" s="178"/>
      <c r="CYP11" s="178"/>
      <c r="CYQ11" s="178"/>
      <c r="CYR11" s="178"/>
      <c r="CYS11" s="178"/>
      <c r="CYT11" s="178"/>
      <c r="CYU11" s="178"/>
      <c r="CYV11" s="178"/>
      <c r="CYW11" s="178"/>
      <c r="CYX11" s="178"/>
      <c r="CYY11" s="178"/>
      <c r="CYZ11" s="178"/>
      <c r="CZA11" s="178"/>
      <c r="CZB11" s="178"/>
      <c r="CZC11" s="178"/>
      <c r="CZD11" s="178"/>
      <c r="CZE11" s="178"/>
      <c r="CZF11" s="178"/>
      <c r="CZG11" s="178"/>
      <c r="CZH11" s="178"/>
      <c r="CZI11" s="178"/>
      <c r="CZJ11" s="178"/>
      <c r="CZK11" s="178"/>
      <c r="CZL11" s="178"/>
      <c r="CZM11" s="178"/>
      <c r="CZN11" s="178"/>
      <c r="CZO11" s="178"/>
      <c r="CZP11" s="178"/>
      <c r="CZQ11" s="178"/>
      <c r="CZR11" s="178"/>
      <c r="CZS11" s="178"/>
      <c r="CZT11" s="178"/>
      <c r="CZU11" s="178"/>
      <c r="CZV11" s="178"/>
      <c r="CZW11" s="178"/>
      <c r="CZX11" s="178"/>
      <c r="CZY11" s="178"/>
      <c r="CZZ11" s="178"/>
      <c r="DAA11" s="178"/>
      <c r="DAB11" s="178"/>
      <c r="DAC11" s="178"/>
      <c r="DAD11" s="178"/>
      <c r="DAE11" s="178"/>
      <c r="DAF11" s="178"/>
      <c r="DAG11" s="178"/>
      <c r="DAH11" s="178"/>
      <c r="DAI11" s="178"/>
      <c r="DAJ11" s="178"/>
      <c r="DAK11" s="178"/>
      <c r="DAL11" s="178"/>
      <c r="DAM11" s="178"/>
      <c r="DAN11" s="178"/>
      <c r="DAO11" s="178"/>
      <c r="DAP11" s="178"/>
      <c r="DAQ11" s="178"/>
      <c r="DAR11" s="178"/>
      <c r="DAS11" s="178"/>
      <c r="DAT11" s="178"/>
      <c r="DAU11" s="178"/>
      <c r="DAV11" s="178"/>
      <c r="DAW11" s="178"/>
      <c r="DAX11" s="178"/>
      <c r="DAY11" s="178"/>
      <c r="DAZ11" s="178"/>
      <c r="DBA11" s="178"/>
      <c r="DBB11" s="178"/>
      <c r="DBC11" s="178"/>
      <c r="DBD11" s="178"/>
      <c r="DBE11" s="178"/>
      <c r="DBF11" s="178"/>
      <c r="DBG11" s="178"/>
      <c r="DBH11" s="178"/>
      <c r="DBI11" s="178"/>
      <c r="DBJ11" s="178"/>
      <c r="DBK11" s="178"/>
      <c r="DBL11" s="178"/>
      <c r="DBM11" s="178"/>
      <c r="DBN11" s="178"/>
      <c r="DBO11" s="178"/>
      <c r="DBP11" s="178"/>
      <c r="DBQ11" s="178"/>
      <c r="DBR11" s="178"/>
      <c r="DBS11" s="178"/>
      <c r="DBT11" s="178"/>
      <c r="DBU11" s="178"/>
      <c r="DBV11" s="178"/>
      <c r="DBW11" s="178"/>
      <c r="DBX11" s="178"/>
      <c r="DBY11" s="178"/>
      <c r="DBZ11" s="178"/>
      <c r="DCA11" s="178"/>
      <c r="DCB11" s="178"/>
      <c r="DCC11" s="178"/>
      <c r="DCD11" s="178"/>
      <c r="DCE11" s="178"/>
      <c r="DCF11" s="178"/>
      <c r="DCG11" s="178"/>
      <c r="DCH11" s="178"/>
      <c r="DCI11" s="178"/>
      <c r="DCJ11" s="178"/>
      <c r="DCK11" s="178"/>
      <c r="DCL11" s="178"/>
      <c r="DCM11" s="178"/>
      <c r="DCN11" s="178"/>
      <c r="DCO11" s="178"/>
      <c r="DCP11" s="178"/>
      <c r="DCQ11" s="178"/>
      <c r="DCR11" s="178"/>
      <c r="DCS11" s="178"/>
      <c r="DCT11" s="178"/>
      <c r="DCU11" s="178"/>
      <c r="DCV11" s="178"/>
      <c r="DCW11" s="178"/>
      <c r="DCX11" s="178"/>
      <c r="DCY11" s="178"/>
      <c r="DCZ11" s="178"/>
      <c r="DDA11" s="178"/>
      <c r="DDB11" s="178"/>
      <c r="DDC11" s="178"/>
      <c r="DDD11" s="178"/>
      <c r="DDE11" s="178"/>
      <c r="DDF11" s="178"/>
      <c r="DDG11" s="178"/>
      <c r="DDH11" s="178"/>
      <c r="DDI11" s="178"/>
      <c r="DDJ11" s="178"/>
      <c r="DDK11" s="178"/>
      <c r="DDL11" s="178"/>
      <c r="DDM11" s="178"/>
      <c r="DDN11" s="178"/>
      <c r="DDO11" s="178"/>
      <c r="DDP11" s="178"/>
      <c r="DDQ11" s="178"/>
      <c r="DDR11" s="178"/>
      <c r="DDS11" s="178"/>
      <c r="DDT11" s="178"/>
      <c r="DDU11" s="178"/>
      <c r="DDV11" s="178"/>
      <c r="DDW11" s="178"/>
      <c r="DDX11" s="178"/>
      <c r="DDY11" s="178"/>
      <c r="DDZ11" s="178"/>
      <c r="DEA11" s="178"/>
      <c r="DEB11" s="178"/>
      <c r="DEC11" s="178"/>
      <c r="DED11" s="178"/>
      <c r="DEE11" s="178"/>
      <c r="DEF11" s="178"/>
      <c r="DEG11" s="178"/>
      <c r="DEH11" s="178"/>
      <c r="DEI11" s="178"/>
      <c r="DEJ11" s="178"/>
      <c r="DEK11" s="178"/>
      <c r="DEL11" s="178"/>
      <c r="DEM11" s="178"/>
      <c r="DEN11" s="178"/>
      <c r="DEO11" s="178"/>
      <c r="DEP11" s="178"/>
      <c r="DEQ11" s="178"/>
      <c r="DER11" s="178"/>
      <c r="DES11" s="178"/>
      <c r="DET11" s="178"/>
      <c r="DEU11" s="178"/>
      <c r="DEV11" s="178"/>
      <c r="DEW11" s="178"/>
      <c r="DEX11" s="178"/>
      <c r="DEY11" s="178"/>
      <c r="DEZ11" s="178"/>
      <c r="DFA11" s="178"/>
      <c r="DFB11" s="178"/>
      <c r="DFC11" s="178"/>
      <c r="DFD11" s="178"/>
      <c r="DFE11" s="178"/>
      <c r="DFF11" s="178"/>
      <c r="DFG11" s="178"/>
      <c r="DFH11" s="178"/>
      <c r="DFI11" s="178"/>
      <c r="DFJ11" s="178"/>
      <c r="DFK11" s="178"/>
      <c r="DFL11" s="178"/>
      <c r="DFM11" s="178"/>
      <c r="DFN11" s="178"/>
      <c r="DFO11" s="178"/>
      <c r="DFP11" s="178"/>
      <c r="DFQ11" s="178"/>
      <c r="DFR11" s="178"/>
      <c r="DFS11" s="178"/>
      <c r="DFT11" s="178"/>
      <c r="DFU11" s="178"/>
      <c r="DFV11" s="178"/>
      <c r="DFW11" s="178"/>
      <c r="DFX11" s="178"/>
      <c r="DFY11" s="178"/>
      <c r="DFZ11" s="178"/>
      <c r="DGA11" s="178"/>
      <c r="DGB11" s="178"/>
      <c r="DGC11" s="178"/>
      <c r="DGD11" s="178"/>
      <c r="DGE11" s="178"/>
      <c r="DGF11" s="178"/>
      <c r="DGG11" s="178"/>
      <c r="DGH11" s="178"/>
      <c r="DGI11" s="178"/>
      <c r="DGJ11" s="178"/>
      <c r="DGK11" s="178"/>
      <c r="DGL11" s="178"/>
      <c r="DGM11" s="178"/>
      <c r="DGN11" s="178"/>
      <c r="DGO11" s="178"/>
      <c r="DGP11" s="178"/>
      <c r="DGQ11" s="178"/>
      <c r="DGR11" s="178"/>
      <c r="DGS11" s="178"/>
      <c r="DGT11" s="178"/>
      <c r="DGU11" s="178"/>
      <c r="DGV11" s="178"/>
      <c r="DGW11" s="178"/>
      <c r="DGX11" s="178"/>
      <c r="DGY11" s="178"/>
      <c r="DGZ11" s="178"/>
      <c r="DHA11" s="178"/>
      <c r="DHB11" s="178"/>
      <c r="DHC11" s="178"/>
      <c r="DHD11" s="178"/>
      <c r="DHE11" s="178"/>
      <c r="DHF11" s="178"/>
      <c r="DHG11" s="178"/>
      <c r="DHH11" s="178"/>
      <c r="DHI11" s="178"/>
      <c r="DHJ11" s="178"/>
      <c r="DHK11" s="178"/>
      <c r="DHL11" s="178"/>
      <c r="DHM11" s="178"/>
      <c r="DHN11" s="178"/>
      <c r="DHO11" s="178"/>
      <c r="DHP11" s="178"/>
      <c r="DHQ11" s="178"/>
      <c r="DHR11" s="178"/>
      <c r="DHS11" s="178"/>
      <c r="DHT11" s="178"/>
      <c r="DHU11" s="178"/>
      <c r="DHV11" s="178"/>
    </row>
    <row r="12" spans="1:2934" s="39" customFormat="1" ht="24" hidden="1" customHeight="1" x14ac:dyDescent="0.35">
      <c r="A12" s="40">
        <v>7</v>
      </c>
      <c r="B12" s="69"/>
      <c r="C12" s="30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si="0"/>
        <v>0</v>
      </c>
      <c r="AJ12" s="31">
        <v>44446</v>
      </c>
      <c r="AK12" s="19"/>
      <c r="AL12" s="95"/>
      <c r="AM12" s="22">
        <f>AI12*AL6</f>
        <v>0</v>
      </c>
      <c r="AN12" s="49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hidden="1" customHeight="1" x14ac:dyDescent="0.35">
      <c r="A13" s="40">
        <v>8</v>
      </c>
      <c r="B13" s="111" t="s">
        <v>125</v>
      </c>
      <c r="C13" s="112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ref="AI13:AI35" si="2">SUM(D13:AH13)</f>
        <v>0</v>
      </c>
      <c r="AJ13" s="31">
        <v>44447</v>
      </c>
      <c r="AK13" s="19"/>
      <c r="AL13" s="95"/>
      <c r="AM13" s="22">
        <f>AI13*AL6</f>
        <v>0</v>
      </c>
      <c r="AN13" s="49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hidden="1" customHeight="1" x14ac:dyDescent="0.35">
      <c r="A14" s="40">
        <v>9</v>
      </c>
      <c r="B14" s="113"/>
      <c r="C14" s="114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44448</v>
      </c>
      <c r="AK14" s="19"/>
      <c r="AL14" s="95"/>
      <c r="AM14" s="22">
        <f>AI14*AL6</f>
        <v>0</v>
      </c>
      <c r="AN14" s="49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1"/>
      <c r="C15" s="112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44449</v>
      </c>
      <c r="AK15" s="19">
        <v>100</v>
      </c>
      <c r="AL15" s="95"/>
      <c r="AM15" s="22">
        <f>AI15*(AL6-10)</f>
        <v>0</v>
      </c>
      <c r="AN15" s="49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1"/>
      <c r="C16" s="112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44450</v>
      </c>
      <c r="AK16" s="19">
        <v>30</v>
      </c>
      <c r="AL16" s="95"/>
      <c r="AM16" s="22">
        <f>AI16*(AL6-10)</f>
        <v>0</v>
      </c>
      <c r="AN16" s="49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5" t="s">
        <v>127</v>
      </c>
      <c r="C17" s="116"/>
      <c r="D17" s="86"/>
      <c r="E17" s="86"/>
      <c r="F17" s="86"/>
      <c r="G17" s="86"/>
      <c r="H17" s="86"/>
      <c r="I17" s="86"/>
      <c r="J17" s="86"/>
      <c r="K17" s="86"/>
      <c r="L17" s="86"/>
      <c r="M17" s="98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44451</v>
      </c>
      <c r="AK17" s="19">
        <v>420</v>
      </c>
      <c r="AL17" s="95"/>
      <c r="AM17" s="22">
        <f>AI17*(AL6-10)</f>
        <v>0</v>
      </c>
      <c r="AN17" s="49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7"/>
      <c r="C18" s="118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44452</v>
      </c>
      <c r="AK18" s="19">
        <f>1595+110</f>
        <v>1705</v>
      </c>
      <c r="AL18" s="95"/>
      <c r="AM18" s="22">
        <f>AI18*(AL6-10)</f>
        <v>0</v>
      </c>
      <c r="AN18" s="49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hidden="1" customHeight="1" x14ac:dyDescent="0.35">
      <c r="A19" s="40">
        <v>14</v>
      </c>
      <c r="B19" s="117"/>
      <c r="C19" s="118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44453</v>
      </c>
      <c r="AK19" s="19"/>
      <c r="AL19" s="95"/>
      <c r="AM19" s="22">
        <f>AI19*(AL6-10)</f>
        <v>0</v>
      </c>
      <c r="AN19" s="49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7"/>
      <c r="C20" s="118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44454</v>
      </c>
      <c r="AK20" s="37">
        <v>780</v>
      </c>
      <c r="AL20" s="96"/>
      <c r="AM20" s="22">
        <f>AI20*(AL6-10)</f>
        <v>0</v>
      </c>
      <c r="AN20" s="49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9"/>
      <c r="C21" s="120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31">
        <v>44455</v>
      </c>
      <c r="AK21" s="19">
        <v>80</v>
      </c>
      <c r="AL21" s="95"/>
      <c r="AM21" s="22">
        <f>AI21*(AL6-10)</f>
        <v>0</v>
      </c>
      <c r="AN21" s="49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1"/>
      <c r="C22" s="112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31">
        <v>44456</v>
      </c>
      <c r="AK22" s="19">
        <v>85</v>
      </c>
      <c r="AL22" s="95"/>
      <c r="AM22" s="22">
        <f>AI22*(AL6-10)</f>
        <v>0</v>
      </c>
      <c r="AN22" s="49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44457</v>
      </c>
      <c r="AK23" s="19">
        <v>160</v>
      </c>
      <c r="AL23" s="95"/>
      <c r="AM23" s="22">
        <f>AI23*(AL6-10)</f>
        <v>0</v>
      </c>
      <c r="AN23" s="49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44458</v>
      </c>
      <c r="AK24" s="19">
        <v>300</v>
      </c>
      <c r="AL24" s="95"/>
      <c r="AM24" s="22">
        <f>AI24*(AL6-10)</f>
        <v>0</v>
      </c>
      <c r="AN24" s="49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69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44459</v>
      </c>
      <c r="AK25" s="19">
        <v>120</v>
      </c>
      <c r="AL25" s="95"/>
      <c r="AM25" s="22">
        <f>AI25*(AL6-10)</f>
        <v>0</v>
      </c>
      <c r="AN25" s="49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hidden="1" customHeight="1" x14ac:dyDescent="0.35">
      <c r="A26" s="40">
        <v>21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44460</v>
      </c>
      <c r="AK26" s="19"/>
      <c r="AL26" s="95"/>
      <c r="AM26" s="22">
        <f>AI26*(AL6-10)</f>
        <v>0</v>
      </c>
      <c r="AN26" s="49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44461</v>
      </c>
      <c r="AK27" s="19">
        <v>268</v>
      </c>
      <c r="AL27" s="95"/>
      <c r="AM27" s="22">
        <f>AI27*(AL6-10)</f>
        <v>0</v>
      </c>
      <c r="AN27" s="49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44462</v>
      </c>
      <c r="AK28" s="19">
        <v>130</v>
      </c>
      <c r="AL28" s="95"/>
      <c r="AM28" s="22">
        <f>AI28*(AL6-10)</f>
        <v>0</v>
      </c>
      <c r="AN28" s="49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68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44463</v>
      </c>
      <c r="AK29" s="19">
        <v>120</v>
      </c>
      <c r="AL29" s="95"/>
      <c r="AM29" s="22">
        <f>AI29*(AL6-10)</f>
        <v>0</v>
      </c>
      <c r="AN29" s="49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hidden="1" customHeight="1" x14ac:dyDescent="0.35">
      <c r="A30" s="40">
        <v>25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44464</v>
      </c>
      <c r="AK30" s="19"/>
      <c r="AL30" s="95"/>
      <c r="AM30" s="22">
        <f>AI30*(AL6-10)</f>
        <v>0</v>
      </c>
      <c r="AN30" s="49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69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44465</v>
      </c>
      <c r="AK31" s="19">
        <f>40+330+80+95+40</f>
        <v>585</v>
      </c>
      <c r="AL31" s="95"/>
      <c r="AM31" s="22">
        <f>AI31*(AL6-10)</f>
        <v>0</v>
      </c>
      <c r="AN31" s="49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27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44466</v>
      </c>
      <c r="AK32" s="19"/>
      <c r="AL32" s="95"/>
      <c r="AM32" s="22">
        <f>AI32*(AL6-10)</f>
        <v>0</v>
      </c>
      <c r="AN32" s="49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hidden="1" customHeight="1" x14ac:dyDescent="0.35">
      <c r="A33" s="40">
        <v>28</v>
      </c>
      <c r="B33" s="68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44467</v>
      </c>
      <c r="AK33" s="19"/>
      <c r="AL33" s="95"/>
      <c r="AM33" s="22">
        <f>AI33*(AL6-10)</f>
        <v>0</v>
      </c>
      <c r="AN33" s="49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69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44468</v>
      </c>
      <c r="AK34" s="19">
        <f>503+38+20+108+70</f>
        <v>739</v>
      </c>
      <c r="AL34" s="95"/>
      <c r="AM34" s="22">
        <f>AI34*(AL6-10)</f>
        <v>0</v>
      </c>
      <c r="AN34" s="49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hidden="1" customHeight="1" x14ac:dyDescent="0.35">
      <c r="A35" s="40">
        <v>30</v>
      </c>
      <c r="B35" s="68"/>
      <c r="C35" s="30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7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41">
        <f t="shared" si="2"/>
        <v>0</v>
      </c>
      <c r="AJ35" s="31">
        <v>44469</v>
      </c>
      <c r="AK35" s="19"/>
      <c r="AL35" s="95"/>
      <c r="AM35" s="22">
        <f>AI35*(AL6-10)</f>
        <v>0</v>
      </c>
      <c r="AN35" s="49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102" customFormat="1" ht="24" customHeight="1" x14ac:dyDescent="0.4">
      <c r="A36" s="109"/>
      <c r="B36" s="110"/>
      <c r="C36" s="104">
        <f>SUM(C6:C35)</f>
        <v>11887</v>
      </c>
      <c r="D36" s="86">
        <f t="shared" ref="D36:AI36" si="3">SUM(D6:D35)</f>
        <v>6</v>
      </c>
      <c r="E36" s="86">
        <f t="shared" si="3"/>
        <v>6</v>
      </c>
      <c r="F36" s="86">
        <f t="shared" si="3"/>
        <v>8</v>
      </c>
      <c r="G36" s="86">
        <f t="shared" si="3"/>
        <v>8</v>
      </c>
      <c r="H36" s="86">
        <f t="shared" si="3"/>
        <v>8</v>
      </c>
      <c r="I36" s="86">
        <f t="shared" si="3"/>
        <v>7.5</v>
      </c>
      <c r="J36" s="86">
        <f t="shared" si="3"/>
        <v>4.5</v>
      </c>
      <c r="K36" s="86">
        <f t="shared" si="3"/>
        <v>0</v>
      </c>
      <c r="L36" s="86">
        <f t="shared" si="3"/>
        <v>6.5</v>
      </c>
      <c r="M36" s="86">
        <f t="shared" si="3"/>
        <v>8</v>
      </c>
      <c r="N36" s="86">
        <f t="shared" si="3"/>
        <v>8</v>
      </c>
      <c r="O36" s="86">
        <f t="shared" si="3"/>
        <v>11</v>
      </c>
      <c r="P36" s="86">
        <f t="shared" si="3"/>
        <v>11</v>
      </c>
      <c r="Q36" s="86">
        <f t="shared" si="3"/>
        <v>11</v>
      </c>
      <c r="R36" s="86">
        <f t="shared" si="3"/>
        <v>11</v>
      </c>
      <c r="S36" s="86">
        <f t="shared" si="3"/>
        <v>11</v>
      </c>
      <c r="T36" s="86">
        <f t="shared" si="3"/>
        <v>8.5</v>
      </c>
      <c r="U36" s="86">
        <f t="shared" si="3"/>
        <v>8</v>
      </c>
      <c r="V36" s="86">
        <f t="shared" si="3"/>
        <v>6</v>
      </c>
      <c r="W36" s="86">
        <f t="shared" si="3"/>
        <v>7</v>
      </c>
      <c r="X36" s="86">
        <f t="shared" si="3"/>
        <v>7</v>
      </c>
      <c r="Y36" s="86">
        <f t="shared" si="3"/>
        <v>8</v>
      </c>
      <c r="Z36" s="86">
        <f t="shared" si="3"/>
        <v>7.5</v>
      </c>
      <c r="AA36" s="86">
        <f t="shared" si="3"/>
        <v>11.5</v>
      </c>
      <c r="AB36" s="86">
        <f t="shared" si="3"/>
        <v>8</v>
      </c>
      <c r="AC36" s="86">
        <f t="shared" si="3"/>
        <v>5</v>
      </c>
      <c r="AD36" s="86">
        <f t="shared" si="3"/>
        <v>5.5</v>
      </c>
      <c r="AE36" s="86">
        <f t="shared" si="3"/>
        <v>6.5</v>
      </c>
      <c r="AF36" s="86">
        <f t="shared" si="3"/>
        <v>7</v>
      </c>
      <c r="AG36" s="86">
        <f t="shared" si="3"/>
        <v>7</v>
      </c>
      <c r="AH36" s="86">
        <f t="shared" si="3"/>
        <v>0</v>
      </c>
      <c r="AI36" s="86">
        <f t="shared" si="3"/>
        <v>228</v>
      </c>
      <c r="AJ36" s="100"/>
      <c r="AK36" s="105">
        <f>SUM(AK6:AK35)</f>
        <v>11957</v>
      </c>
      <c r="AL36" s="101"/>
      <c r="AM36" s="106">
        <f>SUM(AM6:AM35)</f>
        <v>11957</v>
      </c>
      <c r="AN36" s="107">
        <f>SUM(AN6:AN35)</f>
        <v>-70.000000000000227</v>
      </c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3"/>
      <c r="DT36" s="103"/>
      <c r="DU36" s="103"/>
      <c r="DV36" s="103"/>
      <c r="DW36" s="103"/>
      <c r="DX36" s="103"/>
      <c r="DY36" s="103"/>
      <c r="DZ36" s="103"/>
      <c r="EA36" s="103"/>
      <c r="EB36" s="103"/>
      <c r="EC36" s="103"/>
      <c r="ED36" s="103"/>
      <c r="EE36" s="103"/>
      <c r="EF36" s="103"/>
      <c r="EG36" s="103"/>
      <c r="EH36" s="103"/>
      <c r="EI36" s="103"/>
      <c r="EJ36" s="103"/>
      <c r="EK36" s="103"/>
      <c r="EL36" s="103"/>
      <c r="EM36" s="103"/>
      <c r="EN36" s="103"/>
      <c r="EO36" s="103"/>
      <c r="EP36" s="103"/>
      <c r="EQ36" s="103"/>
      <c r="ER36" s="103"/>
      <c r="ES36" s="103"/>
      <c r="ET36" s="103"/>
      <c r="EU36" s="103"/>
      <c r="EV36" s="103"/>
      <c r="EW36" s="103"/>
      <c r="EX36" s="103"/>
      <c r="EY36" s="103"/>
      <c r="EZ36" s="103"/>
      <c r="FA36" s="103"/>
      <c r="FB36" s="103"/>
      <c r="FC36" s="103"/>
      <c r="FD36" s="103"/>
      <c r="FE36" s="103"/>
      <c r="FF36" s="103"/>
      <c r="FG36" s="103"/>
      <c r="FH36" s="103"/>
      <c r="FI36" s="103"/>
      <c r="FJ36" s="103"/>
      <c r="FK36" s="103"/>
      <c r="FL36" s="103"/>
      <c r="FM36" s="103"/>
      <c r="FN36" s="103"/>
      <c r="FO36" s="103"/>
      <c r="FP36" s="103"/>
      <c r="FQ36" s="103"/>
      <c r="FR36" s="103"/>
      <c r="FS36" s="103"/>
      <c r="FT36" s="103"/>
      <c r="FU36" s="103"/>
      <c r="FV36" s="103"/>
      <c r="FW36" s="103"/>
      <c r="FX36" s="103"/>
      <c r="FY36" s="103"/>
      <c r="FZ36" s="103"/>
      <c r="GA36" s="103"/>
      <c r="GB36" s="103"/>
      <c r="GC36" s="103"/>
      <c r="GD36" s="103"/>
      <c r="GE36" s="103"/>
      <c r="GF36" s="103"/>
      <c r="GG36" s="103"/>
      <c r="GH36" s="103"/>
      <c r="GI36" s="103"/>
      <c r="GJ36" s="103"/>
      <c r="GK36" s="103"/>
      <c r="GL36" s="103"/>
      <c r="GM36" s="103"/>
      <c r="GN36" s="103"/>
      <c r="GO36" s="103"/>
      <c r="GP36" s="103"/>
      <c r="GQ36" s="103"/>
      <c r="GR36" s="103"/>
      <c r="GS36" s="103"/>
      <c r="GT36" s="103"/>
      <c r="GU36" s="103"/>
      <c r="GV36" s="103"/>
      <c r="GW36" s="103"/>
      <c r="GX36" s="103"/>
      <c r="GY36" s="103"/>
      <c r="GZ36" s="103"/>
      <c r="HA36" s="103"/>
      <c r="HB36" s="103"/>
      <c r="HC36" s="103"/>
      <c r="HD36" s="103"/>
      <c r="HE36" s="103"/>
      <c r="HF36" s="103"/>
      <c r="HG36" s="103"/>
      <c r="HH36" s="103"/>
      <c r="HI36" s="103"/>
      <c r="HJ36" s="103"/>
      <c r="HK36" s="103"/>
      <c r="HL36" s="103"/>
      <c r="HM36" s="103"/>
      <c r="HN36" s="103"/>
      <c r="HO36" s="103"/>
      <c r="HP36" s="103"/>
      <c r="HQ36" s="103"/>
      <c r="HR36" s="103"/>
      <c r="HS36" s="103"/>
      <c r="HT36" s="103"/>
      <c r="HU36" s="103"/>
      <c r="HV36" s="103"/>
      <c r="HW36" s="103"/>
      <c r="HX36" s="103"/>
      <c r="HY36" s="103"/>
      <c r="HZ36" s="103"/>
      <c r="IA36" s="103"/>
      <c r="IB36" s="103"/>
      <c r="IC36" s="103"/>
      <c r="ID36" s="103"/>
      <c r="IE36" s="103"/>
      <c r="IF36" s="103"/>
      <c r="IG36" s="103"/>
      <c r="IH36" s="103"/>
      <c r="II36" s="103"/>
      <c r="IJ36" s="103"/>
      <c r="IK36" s="103"/>
      <c r="IL36" s="103"/>
      <c r="IM36" s="103"/>
      <c r="IN36" s="103"/>
      <c r="IO36" s="103"/>
      <c r="IP36" s="103"/>
      <c r="IQ36" s="103"/>
      <c r="IR36" s="103"/>
      <c r="IS36" s="103"/>
      <c r="IT36" s="103"/>
      <c r="IU36" s="103"/>
      <c r="IV36" s="103"/>
      <c r="IW36" s="103"/>
      <c r="IX36" s="103"/>
      <c r="IY36" s="103"/>
      <c r="IZ36" s="103"/>
      <c r="JA36" s="103"/>
      <c r="JB36" s="103"/>
      <c r="JC36" s="103"/>
      <c r="JD36" s="103"/>
      <c r="JE36" s="103"/>
      <c r="JF36" s="103"/>
      <c r="JG36" s="103"/>
      <c r="JH36" s="103"/>
      <c r="JI36" s="103"/>
      <c r="JJ36" s="103"/>
      <c r="JK36" s="103"/>
      <c r="JL36" s="103"/>
      <c r="JM36" s="103"/>
      <c r="JN36" s="103"/>
      <c r="JO36" s="103"/>
      <c r="JP36" s="103"/>
      <c r="JQ36" s="103"/>
      <c r="JR36" s="103"/>
      <c r="JS36" s="103"/>
      <c r="JT36" s="103"/>
      <c r="JU36" s="103"/>
      <c r="JV36" s="103"/>
      <c r="JW36" s="103"/>
      <c r="JX36" s="103"/>
      <c r="JY36" s="103"/>
      <c r="JZ36" s="103"/>
      <c r="KA36" s="103"/>
      <c r="KB36" s="103"/>
      <c r="KC36" s="103"/>
      <c r="KD36" s="103"/>
      <c r="KE36" s="103"/>
      <c r="KF36" s="103"/>
      <c r="KG36" s="103"/>
      <c r="KH36" s="103"/>
      <c r="KI36" s="103"/>
      <c r="KJ36" s="103"/>
      <c r="KK36" s="103"/>
      <c r="KL36" s="103"/>
      <c r="KM36" s="103"/>
      <c r="KN36" s="103"/>
      <c r="KO36" s="103"/>
      <c r="KP36" s="103"/>
      <c r="KQ36" s="103"/>
      <c r="KR36" s="103"/>
      <c r="KS36" s="103"/>
      <c r="KT36" s="103"/>
      <c r="KU36" s="103"/>
      <c r="KV36" s="103"/>
      <c r="KW36" s="103"/>
      <c r="KX36" s="103"/>
      <c r="KY36" s="103"/>
      <c r="KZ36" s="103"/>
      <c r="LA36" s="103"/>
      <c r="LB36" s="103"/>
      <c r="LC36" s="103"/>
      <c r="LD36" s="103"/>
      <c r="LE36" s="103"/>
      <c r="LF36" s="103"/>
      <c r="LG36" s="103"/>
      <c r="LH36" s="103"/>
      <c r="LI36" s="103"/>
      <c r="LJ36" s="103"/>
      <c r="LK36" s="103"/>
      <c r="LL36" s="103"/>
      <c r="LM36" s="103"/>
      <c r="LN36" s="103"/>
      <c r="LO36" s="103"/>
      <c r="LP36" s="103"/>
      <c r="LQ36" s="103"/>
      <c r="LR36" s="103"/>
      <c r="LS36" s="103"/>
      <c r="LT36" s="103"/>
      <c r="LU36" s="103"/>
      <c r="LV36" s="103"/>
      <c r="LW36" s="103"/>
      <c r="LX36" s="103"/>
      <c r="LY36" s="103"/>
      <c r="LZ36" s="103"/>
      <c r="MA36" s="103"/>
      <c r="MB36" s="103"/>
      <c r="MC36" s="103"/>
      <c r="MD36" s="103"/>
      <c r="ME36" s="103"/>
      <c r="MF36" s="103"/>
      <c r="MG36" s="103"/>
      <c r="MH36" s="103"/>
      <c r="MI36" s="103"/>
      <c r="MJ36" s="103"/>
      <c r="MK36" s="103"/>
      <c r="ML36" s="103"/>
      <c r="MM36" s="103"/>
      <c r="MN36" s="103"/>
      <c r="MO36" s="103"/>
      <c r="MP36" s="103"/>
      <c r="MQ36" s="103"/>
      <c r="MR36" s="103"/>
      <c r="MS36" s="103"/>
      <c r="MT36" s="103"/>
      <c r="MU36" s="103"/>
      <c r="MV36" s="103"/>
      <c r="MW36" s="103"/>
      <c r="MX36" s="103"/>
      <c r="MY36" s="103"/>
      <c r="MZ36" s="103"/>
      <c r="NA36" s="103"/>
      <c r="NB36" s="103"/>
      <c r="NC36" s="103"/>
      <c r="ND36" s="103"/>
      <c r="NE36" s="103"/>
      <c r="NF36" s="103"/>
      <c r="NG36" s="103"/>
      <c r="NH36" s="103"/>
      <c r="NI36" s="103"/>
      <c r="NJ36" s="103"/>
      <c r="NK36" s="103"/>
      <c r="NL36" s="103"/>
      <c r="NM36" s="103"/>
      <c r="NN36" s="103"/>
      <c r="NO36" s="103"/>
      <c r="NP36" s="103"/>
      <c r="NQ36" s="103"/>
      <c r="NR36" s="103"/>
      <c r="NS36" s="103"/>
      <c r="NT36" s="103"/>
      <c r="NU36" s="103"/>
      <c r="NV36" s="103"/>
      <c r="NW36" s="103"/>
      <c r="NX36" s="103"/>
      <c r="NY36" s="103"/>
      <c r="NZ36" s="103"/>
      <c r="OA36" s="103"/>
      <c r="OB36" s="103"/>
      <c r="OC36" s="103"/>
      <c r="OD36" s="103"/>
      <c r="OE36" s="103"/>
      <c r="OF36" s="103"/>
      <c r="OG36" s="103"/>
      <c r="OH36" s="103"/>
      <c r="OI36" s="103"/>
      <c r="OJ36" s="103"/>
      <c r="OK36" s="103"/>
      <c r="OL36" s="103"/>
      <c r="OM36" s="103"/>
      <c r="ON36" s="103"/>
      <c r="OO36" s="103"/>
      <c r="OP36" s="103"/>
      <c r="OQ36" s="103"/>
      <c r="OR36" s="103"/>
      <c r="OS36" s="103"/>
      <c r="OT36" s="103"/>
      <c r="OU36" s="103"/>
      <c r="OV36" s="103"/>
      <c r="OW36" s="103"/>
      <c r="OX36" s="103"/>
      <c r="OY36" s="103"/>
      <c r="OZ36" s="103"/>
      <c r="PA36" s="103"/>
      <c r="PB36" s="103"/>
      <c r="PC36" s="103"/>
      <c r="PD36" s="103"/>
      <c r="PE36" s="103"/>
      <c r="PF36" s="103"/>
      <c r="PG36" s="103"/>
      <c r="PH36" s="103"/>
      <c r="PI36" s="103"/>
      <c r="PJ36" s="103"/>
      <c r="PK36" s="103"/>
      <c r="PL36" s="103"/>
      <c r="PM36" s="103"/>
      <c r="PN36" s="103"/>
      <c r="PO36" s="103"/>
      <c r="PP36" s="103"/>
      <c r="PQ36" s="103"/>
      <c r="PR36" s="103"/>
      <c r="PS36" s="103"/>
      <c r="PT36" s="103"/>
      <c r="PU36" s="103"/>
      <c r="PV36" s="103"/>
      <c r="PW36" s="103"/>
      <c r="PX36" s="103"/>
      <c r="PY36" s="103"/>
      <c r="PZ36" s="103"/>
      <c r="QA36" s="103"/>
      <c r="QB36" s="103"/>
      <c r="QC36" s="103"/>
      <c r="QD36" s="103"/>
      <c r="QE36" s="103"/>
      <c r="QF36" s="103"/>
      <c r="QG36" s="103"/>
      <c r="QH36" s="103"/>
      <c r="QI36" s="103"/>
      <c r="QJ36" s="103"/>
      <c r="QK36" s="103"/>
      <c r="QL36" s="103"/>
      <c r="QM36" s="103"/>
      <c r="QN36" s="103"/>
      <c r="QO36" s="103"/>
      <c r="QP36" s="103"/>
      <c r="QQ36" s="103"/>
      <c r="QR36" s="103"/>
      <c r="QS36" s="103"/>
      <c r="QT36" s="103"/>
      <c r="QU36" s="103"/>
      <c r="QV36" s="103"/>
      <c r="QW36" s="103"/>
      <c r="QX36" s="103"/>
      <c r="QY36" s="103"/>
      <c r="QZ36" s="103"/>
      <c r="RA36" s="103"/>
      <c r="RB36" s="103"/>
      <c r="RC36" s="103"/>
      <c r="RD36" s="103"/>
      <c r="RE36" s="103"/>
      <c r="RF36" s="103"/>
      <c r="RG36" s="103"/>
      <c r="RH36" s="103"/>
      <c r="RI36" s="103"/>
      <c r="RJ36" s="103"/>
      <c r="RK36" s="103"/>
      <c r="RL36" s="103"/>
      <c r="RM36" s="103"/>
      <c r="RN36" s="103"/>
      <c r="RO36" s="103"/>
      <c r="RP36" s="103"/>
      <c r="RQ36" s="103"/>
      <c r="RR36" s="103"/>
      <c r="RS36" s="103"/>
      <c r="RT36" s="103"/>
      <c r="RU36" s="103"/>
      <c r="RV36" s="103"/>
      <c r="RW36" s="103"/>
      <c r="RX36" s="103"/>
      <c r="RY36" s="103"/>
      <c r="RZ36" s="103"/>
      <c r="SA36" s="103"/>
      <c r="SB36" s="103"/>
      <c r="SC36" s="103"/>
      <c r="SD36" s="103"/>
      <c r="SE36" s="103"/>
      <c r="SF36" s="103"/>
      <c r="SG36" s="103"/>
      <c r="SH36" s="103"/>
      <c r="SI36" s="103"/>
      <c r="SJ36" s="103"/>
      <c r="SK36" s="103"/>
      <c r="SL36" s="103"/>
      <c r="SM36" s="103"/>
      <c r="SN36" s="103"/>
      <c r="SO36" s="103"/>
      <c r="SP36" s="103"/>
      <c r="SQ36" s="103"/>
      <c r="SR36" s="103"/>
      <c r="SS36" s="103"/>
      <c r="ST36" s="103"/>
      <c r="SU36" s="103"/>
      <c r="SV36" s="103"/>
      <c r="SW36" s="103"/>
      <c r="SX36" s="103"/>
      <c r="SY36" s="103"/>
      <c r="SZ36" s="103"/>
      <c r="TA36" s="103"/>
      <c r="TB36" s="103"/>
      <c r="TC36" s="103"/>
      <c r="TD36" s="103"/>
      <c r="TE36" s="103"/>
      <c r="TF36" s="103"/>
      <c r="TG36" s="103"/>
      <c r="TH36" s="103"/>
      <c r="TI36" s="103"/>
      <c r="TJ36" s="103"/>
      <c r="TK36" s="103"/>
      <c r="TL36" s="103"/>
      <c r="TM36" s="103"/>
      <c r="TN36" s="103"/>
      <c r="TO36" s="103"/>
      <c r="TP36" s="103"/>
      <c r="TQ36" s="103"/>
      <c r="TR36" s="103"/>
      <c r="TS36" s="103"/>
      <c r="TT36" s="103"/>
      <c r="TU36" s="103"/>
      <c r="TV36" s="103"/>
      <c r="TW36" s="103"/>
      <c r="TX36" s="103"/>
      <c r="TY36" s="103"/>
      <c r="TZ36" s="103"/>
      <c r="UA36" s="103"/>
      <c r="UB36" s="103"/>
      <c r="UC36" s="103"/>
      <c r="UD36" s="103"/>
      <c r="UE36" s="103"/>
      <c r="UF36" s="103"/>
      <c r="UG36" s="103"/>
      <c r="UH36" s="103"/>
      <c r="UI36" s="103"/>
      <c r="UJ36" s="103"/>
      <c r="UK36" s="103"/>
      <c r="UL36" s="103"/>
      <c r="UM36" s="103"/>
      <c r="UN36" s="103"/>
      <c r="UO36" s="103"/>
      <c r="UP36" s="103"/>
      <c r="UQ36" s="103"/>
      <c r="UR36" s="103"/>
      <c r="US36" s="103"/>
      <c r="UT36" s="103"/>
      <c r="UU36" s="103"/>
      <c r="UV36" s="103"/>
      <c r="UW36" s="103"/>
      <c r="UX36" s="103"/>
      <c r="UY36" s="103"/>
      <c r="UZ36" s="103"/>
      <c r="VA36" s="103"/>
      <c r="VB36" s="103"/>
      <c r="VC36" s="103"/>
      <c r="VD36" s="103"/>
      <c r="VE36" s="103"/>
      <c r="VF36" s="103"/>
      <c r="VG36" s="103"/>
      <c r="VH36" s="103"/>
      <c r="VI36" s="103"/>
      <c r="VJ36" s="103"/>
      <c r="VK36" s="103"/>
      <c r="VL36" s="103"/>
      <c r="VM36" s="103"/>
      <c r="VN36" s="103"/>
      <c r="VO36" s="103"/>
      <c r="VP36" s="103"/>
      <c r="VQ36" s="103"/>
      <c r="VR36" s="103"/>
      <c r="VS36" s="103"/>
      <c r="VT36" s="103"/>
      <c r="VU36" s="103"/>
      <c r="VV36" s="103"/>
      <c r="VW36" s="103"/>
      <c r="VX36" s="103"/>
      <c r="VY36" s="103"/>
      <c r="VZ36" s="103"/>
      <c r="WA36" s="103"/>
      <c r="WB36" s="103"/>
      <c r="WC36" s="103"/>
      <c r="WD36" s="103"/>
      <c r="WE36" s="103"/>
      <c r="WF36" s="103"/>
      <c r="WG36" s="103"/>
      <c r="WH36" s="103"/>
      <c r="WI36" s="103"/>
      <c r="WJ36" s="103"/>
      <c r="WK36" s="103"/>
      <c r="WL36" s="103"/>
      <c r="WM36" s="103"/>
      <c r="WN36" s="103"/>
      <c r="WO36" s="103"/>
      <c r="WP36" s="103"/>
      <c r="WQ36" s="103"/>
      <c r="WR36" s="103"/>
      <c r="WS36" s="103"/>
      <c r="WT36" s="103"/>
      <c r="WU36" s="103"/>
      <c r="WV36" s="103"/>
      <c r="WW36" s="103"/>
      <c r="WX36" s="103"/>
      <c r="WY36" s="103"/>
      <c r="WZ36" s="103"/>
      <c r="XA36" s="103"/>
      <c r="XB36" s="103"/>
      <c r="XC36" s="103"/>
      <c r="XD36" s="103"/>
      <c r="XE36" s="103"/>
      <c r="XF36" s="103"/>
      <c r="XG36" s="103"/>
      <c r="XH36" s="103"/>
      <c r="XI36" s="103"/>
      <c r="XJ36" s="103"/>
      <c r="XK36" s="103"/>
      <c r="XL36" s="103"/>
      <c r="XM36" s="103"/>
      <c r="XN36" s="103"/>
      <c r="XO36" s="103"/>
      <c r="XP36" s="103"/>
      <c r="XQ36" s="103"/>
      <c r="XR36" s="103"/>
      <c r="XS36" s="103"/>
      <c r="XT36" s="103"/>
      <c r="XU36" s="103"/>
      <c r="XV36" s="103"/>
      <c r="XW36" s="103"/>
      <c r="XX36" s="103"/>
      <c r="XY36" s="103"/>
      <c r="XZ36" s="103"/>
      <c r="YA36" s="103"/>
      <c r="YB36" s="103"/>
      <c r="YC36" s="103"/>
      <c r="YD36" s="103"/>
      <c r="YE36" s="103"/>
      <c r="YF36" s="103"/>
      <c r="YG36" s="103"/>
      <c r="YH36" s="103"/>
      <c r="YI36" s="103"/>
      <c r="YJ36" s="103"/>
      <c r="YK36" s="103"/>
      <c r="YL36" s="103"/>
      <c r="YM36" s="103"/>
      <c r="YN36" s="103"/>
      <c r="YO36" s="103"/>
      <c r="YP36" s="103"/>
      <c r="YQ36" s="103"/>
      <c r="YR36" s="103"/>
      <c r="YS36" s="103"/>
      <c r="YT36" s="103"/>
      <c r="YU36" s="103"/>
      <c r="YV36" s="103"/>
      <c r="YW36" s="103"/>
      <c r="YX36" s="103"/>
      <c r="YY36" s="103"/>
      <c r="YZ36" s="103"/>
      <c r="ZA36" s="103"/>
      <c r="ZB36" s="103"/>
      <c r="ZC36" s="103"/>
      <c r="ZD36" s="103"/>
      <c r="ZE36" s="103"/>
      <c r="ZF36" s="103"/>
      <c r="ZG36" s="103"/>
      <c r="ZH36" s="103"/>
      <c r="ZI36" s="103"/>
      <c r="ZJ36" s="103"/>
      <c r="ZK36" s="103"/>
      <c r="ZL36" s="103"/>
      <c r="ZM36" s="103"/>
      <c r="ZN36" s="103"/>
      <c r="ZO36" s="103"/>
      <c r="ZP36" s="103"/>
      <c r="ZQ36" s="103"/>
      <c r="ZR36" s="103"/>
      <c r="ZS36" s="103"/>
      <c r="ZT36" s="103"/>
      <c r="ZU36" s="103"/>
      <c r="ZV36" s="103"/>
      <c r="ZW36" s="103"/>
      <c r="ZX36" s="103"/>
      <c r="ZY36" s="103"/>
      <c r="ZZ36" s="103"/>
      <c r="AAA36" s="103"/>
      <c r="AAB36" s="103"/>
      <c r="AAC36" s="103"/>
      <c r="AAD36" s="103"/>
      <c r="AAE36" s="103"/>
      <c r="AAF36" s="103"/>
      <c r="AAG36" s="103"/>
      <c r="AAH36" s="103"/>
      <c r="AAI36" s="103"/>
      <c r="AAJ36" s="103"/>
      <c r="AAK36" s="103"/>
      <c r="AAL36" s="103"/>
      <c r="AAM36" s="103"/>
      <c r="AAN36" s="103"/>
      <c r="AAO36" s="103"/>
      <c r="AAP36" s="103"/>
      <c r="AAQ36" s="103"/>
      <c r="AAR36" s="103"/>
      <c r="AAS36" s="103"/>
      <c r="AAT36" s="103"/>
      <c r="AAU36" s="103"/>
      <c r="AAV36" s="103"/>
      <c r="AAW36" s="103"/>
      <c r="AAX36" s="103"/>
      <c r="AAY36" s="103"/>
      <c r="AAZ36" s="103"/>
      <c r="ABA36" s="103"/>
      <c r="ABB36" s="103"/>
      <c r="ABC36" s="103"/>
      <c r="ABD36" s="103"/>
      <c r="ABE36" s="103"/>
      <c r="ABF36" s="103"/>
      <c r="ABG36" s="103"/>
      <c r="ABH36" s="103"/>
      <c r="ABI36" s="103"/>
      <c r="ABJ36" s="103"/>
      <c r="ABK36" s="103"/>
      <c r="ABL36" s="103"/>
      <c r="ABM36" s="103"/>
      <c r="ABN36" s="103"/>
      <c r="ABO36" s="103"/>
      <c r="ABP36" s="103"/>
      <c r="ABQ36" s="103"/>
      <c r="ABR36" s="103"/>
      <c r="ABS36" s="103"/>
      <c r="ABT36" s="103"/>
      <c r="ABU36" s="103"/>
      <c r="ABV36" s="103"/>
      <c r="ABW36" s="103"/>
      <c r="ABX36" s="103"/>
      <c r="ABY36" s="103"/>
      <c r="ABZ36" s="103"/>
      <c r="ACA36" s="103"/>
      <c r="ACB36" s="103"/>
      <c r="ACC36" s="103"/>
      <c r="ACD36" s="103"/>
      <c r="ACE36" s="103"/>
      <c r="ACF36" s="103"/>
      <c r="ACG36" s="103"/>
      <c r="ACH36" s="103"/>
      <c r="ACI36" s="103"/>
      <c r="ACJ36" s="103"/>
      <c r="ACK36" s="103"/>
      <c r="ACL36" s="103"/>
      <c r="ACM36" s="103"/>
      <c r="ACN36" s="103"/>
      <c r="ACO36" s="103"/>
      <c r="ACP36" s="103"/>
      <c r="ACQ36" s="103"/>
      <c r="ACR36" s="103"/>
      <c r="ACS36" s="103"/>
      <c r="ACT36" s="103"/>
      <c r="ACU36" s="103"/>
      <c r="ACV36" s="103"/>
      <c r="ACW36" s="103"/>
      <c r="ACX36" s="103"/>
      <c r="ACY36" s="103"/>
      <c r="ACZ36" s="103"/>
      <c r="ADA36" s="103"/>
      <c r="ADB36" s="103"/>
      <c r="ADC36" s="103"/>
      <c r="ADD36" s="103"/>
      <c r="ADE36" s="103"/>
      <c r="ADF36" s="103"/>
      <c r="ADG36" s="103"/>
      <c r="ADH36" s="103"/>
      <c r="ADI36" s="103"/>
      <c r="ADJ36" s="103"/>
      <c r="ADK36" s="103"/>
      <c r="ADL36" s="103"/>
      <c r="ADM36" s="103"/>
      <c r="ADN36" s="103"/>
      <c r="ADO36" s="103"/>
      <c r="ADP36" s="103"/>
      <c r="ADQ36" s="103"/>
      <c r="ADR36" s="103"/>
      <c r="ADS36" s="103"/>
      <c r="ADT36" s="103"/>
      <c r="ADU36" s="103"/>
      <c r="ADV36" s="103"/>
      <c r="ADW36" s="103"/>
      <c r="ADX36" s="103"/>
      <c r="ADY36" s="103"/>
      <c r="ADZ36" s="103"/>
      <c r="AEA36" s="103"/>
      <c r="AEB36" s="103"/>
      <c r="AEC36" s="103"/>
      <c r="AED36" s="103"/>
      <c r="AEE36" s="103"/>
      <c r="AEF36" s="103"/>
      <c r="AEG36" s="103"/>
      <c r="AEH36" s="103"/>
      <c r="AEI36" s="103"/>
      <c r="AEJ36" s="103"/>
      <c r="AEK36" s="103"/>
      <c r="AEL36" s="103"/>
      <c r="AEM36" s="103"/>
      <c r="AEN36" s="103"/>
      <c r="AEO36" s="103"/>
      <c r="AEP36" s="103"/>
      <c r="AEQ36" s="103"/>
      <c r="AER36" s="103"/>
      <c r="AES36" s="103"/>
      <c r="AET36" s="103"/>
      <c r="AEU36" s="103"/>
      <c r="AEV36" s="103"/>
      <c r="AEW36" s="103"/>
      <c r="AEX36" s="103"/>
      <c r="AEY36" s="103"/>
      <c r="AEZ36" s="103"/>
      <c r="AFA36" s="103"/>
      <c r="AFB36" s="103"/>
      <c r="AFC36" s="103"/>
      <c r="AFD36" s="103"/>
      <c r="AFE36" s="103"/>
      <c r="AFF36" s="103"/>
      <c r="AFG36" s="103"/>
      <c r="AFH36" s="103"/>
      <c r="AFI36" s="103"/>
      <c r="AFJ36" s="103"/>
      <c r="AFK36" s="103"/>
      <c r="AFL36" s="103"/>
      <c r="AFM36" s="103"/>
      <c r="AFN36" s="103"/>
      <c r="AFO36" s="103"/>
      <c r="AFP36" s="103"/>
      <c r="AFQ36" s="103"/>
      <c r="AFR36" s="103"/>
      <c r="AFS36" s="103"/>
      <c r="AFT36" s="103"/>
      <c r="AFU36" s="103"/>
      <c r="AFV36" s="103"/>
      <c r="AFW36" s="103"/>
      <c r="AFX36" s="103"/>
      <c r="AFY36" s="103"/>
      <c r="AFZ36" s="103"/>
      <c r="AGA36" s="103"/>
      <c r="AGB36" s="103"/>
      <c r="AGC36" s="103"/>
      <c r="AGD36" s="103"/>
      <c r="AGE36" s="103"/>
      <c r="AGF36" s="103"/>
      <c r="AGG36" s="103"/>
      <c r="AGH36" s="103"/>
      <c r="AGI36" s="103"/>
      <c r="AGJ36" s="103"/>
      <c r="AGK36" s="103"/>
      <c r="AGL36" s="103"/>
      <c r="AGM36" s="103"/>
      <c r="AGN36" s="103"/>
      <c r="AGO36" s="103"/>
      <c r="AGP36" s="103"/>
      <c r="AGQ36" s="103"/>
      <c r="AGR36" s="103"/>
      <c r="AGS36" s="103"/>
      <c r="AGT36" s="103"/>
      <c r="AGU36" s="103"/>
      <c r="AGV36" s="103"/>
      <c r="AGW36" s="103"/>
      <c r="AGX36" s="103"/>
      <c r="AGY36" s="103"/>
      <c r="AGZ36" s="103"/>
      <c r="AHA36" s="103"/>
      <c r="AHB36" s="103"/>
      <c r="AHC36" s="103"/>
      <c r="AHD36" s="103"/>
      <c r="AHE36" s="103"/>
      <c r="AHF36" s="103"/>
      <c r="AHG36" s="103"/>
      <c r="AHH36" s="103"/>
      <c r="AHI36" s="103"/>
      <c r="AHJ36" s="103"/>
      <c r="AHK36" s="103"/>
      <c r="AHL36" s="103"/>
      <c r="AHM36" s="103"/>
      <c r="AHN36" s="103"/>
      <c r="AHO36" s="103"/>
      <c r="AHP36" s="103"/>
      <c r="AHQ36" s="103"/>
      <c r="AHR36" s="103"/>
      <c r="AHS36" s="103"/>
      <c r="AHT36" s="103"/>
      <c r="AHU36" s="103"/>
      <c r="AHV36" s="103"/>
      <c r="AHW36" s="103"/>
      <c r="AHX36" s="103"/>
      <c r="AHY36" s="103"/>
      <c r="AHZ36" s="103"/>
      <c r="AIA36" s="103"/>
      <c r="AIB36" s="103"/>
      <c r="AIC36" s="103"/>
      <c r="AID36" s="103"/>
      <c r="AIE36" s="103"/>
      <c r="AIF36" s="103"/>
      <c r="AIG36" s="103"/>
      <c r="AIH36" s="103"/>
      <c r="AII36" s="103"/>
      <c r="AIJ36" s="103"/>
      <c r="AIK36" s="103"/>
      <c r="AIL36" s="103"/>
      <c r="AIM36" s="103"/>
      <c r="AIN36" s="103"/>
      <c r="AIO36" s="103"/>
      <c r="AIP36" s="103"/>
      <c r="AIQ36" s="103"/>
      <c r="AIR36" s="103"/>
      <c r="AIS36" s="103"/>
      <c r="AIT36" s="103"/>
      <c r="AIU36" s="103"/>
      <c r="AIV36" s="103"/>
      <c r="AIW36" s="103"/>
      <c r="AIX36" s="103"/>
      <c r="AIY36" s="103"/>
      <c r="AIZ36" s="103"/>
      <c r="AJA36" s="103"/>
      <c r="AJB36" s="103"/>
      <c r="AJC36" s="103"/>
      <c r="AJD36" s="103"/>
      <c r="AJE36" s="103"/>
      <c r="AJF36" s="103"/>
      <c r="AJG36" s="103"/>
      <c r="AJH36" s="103"/>
      <c r="AJI36" s="103"/>
      <c r="AJJ36" s="103"/>
      <c r="AJK36" s="103"/>
      <c r="AJL36" s="103"/>
      <c r="AJM36" s="103"/>
      <c r="AJN36" s="103"/>
      <c r="AJO36" s="103"/>
      <c r="AJP36" s="103"/>
      <c r="AJQ36" s="103"/>
      <c r="AJR36" s="103"/>
      <c r="AJS36" s="103"/>
      <c r="AJT36" s="103"/>
      <c r="AJU36" s="103"/>
      <c r="AJV36" s="103"/>
      <c r="AJW36" s="103"/>
      <c r="AJX36" s="103"/>
      <c r="AJY36" s="103"/>
      <c r="AJZ36" s="103"/>
      <c r="AKA36" s="103"/>
      <c r="AKB36" s="103"/>
      <c r="AKC36" s="103"/>
      <c r="AKD36" s="103"/>
      <c r="AKE36" s="103"/>
      <c r="AKF36" s="103"/>
      <c r="AKG36" s="103"/>
      <c r="AKH36" s="103"/>
      <c r="AKI36" s="103"/>
      <c r="AKJ36" s="103"/>
      <c r="AKK36" s="103"/>
      <c r="AKL36" s="103"/>
      <c r="AKM36" s="103"/>
      <c r="AKN36" s="103"/>
      <c r="AKO36" s="103"/>
      <c r="AKP36" s="103"/>
      <c r="AKQ36" s="103"/>
      <c r="AKR36" s="103"/>
      <c r="AKS36" s="103"/>
      <c r="AKT36" s="103"/>
      <c r="AKU36" s="103"/>
      <c r="AKV36" s="103"/>
      <c r="AKW36" s="103"/>
      <c r="AKX36" s="103"/>
      <c r="AKY36" s="103"/>
      <c r="AKZ36" s="103"/>
      <c r="ALA36" s="103"/>
      <c r="ALB36" s="103"/>
      <c r="ALC36" s="103"/>
      <c r="ALD36" s="103"/>
      <c r="ALE36" s="103"/>
      <c r="ALF36" s="103"/>
      <c r="ALG36" s="103"/>
      <c r="ALH36" s="103"/>
      <c r="ALI36" s="103"/>
      <c r="ALJ36" s="103"/>
      <c r="ALK36" s="103"/>
      <c r="ALL36" s="103"/>
      <c r="ALM36" s="103"/>
      <c r="ALN36" s="103"/>
      <c r="ALO36" s="103"/>
      <c r="ALP36" s="103"/>
      <c r="ALQ36" s="103"/>
      <c r="ALR36" s="103"/>
      <c r="ALS36" s="103"/>
      <c r="ALT36" s="103"/>
      <c r="ALU36" s="103"/>
      <c r="ALV36" s="103"/>
      <c r="ALW36" s="103"/>
      <c r="ALX36" s="103"/>
      <c r="ALY36" s="103"/>
      <c r="ALZ36" s="103"/>
      <c r="AMA36" s="103"/>
      <c r="AMB36" s="103"/>
      <c r="AMC36" s="103"/>
      <c r="AMD36" s="103"/>
      <c r="AME36" s="103"/>
      <c r="AMF36" s="103"/>
      <c r="AMG36" s="103"/>
      <c r="AMH36" s="103"/>
      <c r="AMI36" s="103"/>
      <c r="AMJ36" s="103"/>
      <c r="AMK36" s="103"/>
      <c r="AML36" s="103"/>
      <c r="AMM36" s="103"/>
      <c r="AMN36" s="103"/>
      <c r="AMO36" s="103"/>
      <c r="AMP36" s="103"/>
      <c r="AMQ36" s="103"/>
      <c r="AMR36" s="103"/>
      <c r="AMS36" s="103"/>
      <c r="AMT36" s="103"/>
      <c r="AMU36" s="103"/>
      <c r="AMV36" s="103"/>
      <c r="AMW36" s="103"/>
      <c r="AMX36" s="103"/>
      <c r="AMY36" s="103"/>
      <c r="AMZ36" s="103"/>
      <c r="ANA36" s="103"/>
      <c r="ANB36" s="103"/>
      <c r="ANC36" s="103"/>
      <c r="AND36" s="103"/>
      <c r="ANE36" s="103"/>
      <c r="ANF36" s="103"/>
      <c r="ANG36" s="103"/>
      <c r="ANH36" s="103"/>
      <c r="ANI36" s="103"/>
      <c r="ANJ36" s="103"/>
      <c r="ANK36" s="103"/>
      <c r="ANL36" s="103"/>
      <c r="ANM36" s="103"/>
      <c r="ANN36" s="103"/>
      <c r="ANO36" s="103"/>
      <c r="ANP36" s="103"/>
      <c r="ANQ36" s="103"/>
      <c r="ANR36" s="103"/>
      <c r="ANS36" s="103"/>
      <c r="ANT36" s="103"/>
      <c r="ANU36" s="103"/>
      <c r="ANV36" s="103"/>
      <c r="ANW36" s="103"/>
      <c r="ANX36" s="103"/>
      <c r="ANY36" s="103"/>
      <c r="ANZ36" s="103"/>
      <c r="AOA36" s="103"/>
      <c r="AOB36" s="103"/>
      <c r="AOC36" s="103"/>
      <c r="AOD36" s="103"/>
      <c r="AOE36" s="103"/>
      <c r="AOF36" s="103"/>
      <c r="AOG36" s="103"/>
      <c r="AOH36" s="103"/>
      <c r="AOI36" s="103"/>
      <c r="AOJ36" s="103"/>
      <c r="AOK36" s="103"/>
      <c r="AOL36" s="103"/>
      <c r="AOM36" s="103"/>
      <c r="AON36" s="103"/>
      <c r="AOO36" s="103"/>
      <c r="AOP36" s="103"/>
      <c r="AOQ36" s="103"/>
      <c r="AOR36" s="103"/>
      <c r="AOS36" s="103"/>
      <c r="AOT36" s="103"/>
      <c r="AOU36" s="103"/>
      <c r="AOV36" s="103"/>
      <c r="AOW36" s="103"/>
      <c r="AOX36" s="103"/>
      <c r="AOY36" s="103"/>
      <c r="AOZ36" s="103"/>
      <c r="APA36" s="103"/>
      <c r="APB36" s="103"/>
      <c r="APC36" s="103"/>
      <c r="APD36" s="103"/>
      <c r="APE36" s="103"/>
      <c r="APF36" s="103"/>
      <c r="APG36" s="103"/>
      <c r="APH36" s="103"/>
      <c r="API36" s="103"/>
      <c r="APJ36" s="103"/>
      <c r="APK36" s="103"/>
      <c r="APL36" s="103"/>
      <c r="APM36" s="103"/>
      <c r="APN36" s="103"/>
      <c r="APO36" s="103"/>
      <c r="APP36" s="103"/>
      <c r="APQ36" s="103"/>
      <c r="APR36" s="103"/>
      <c r="APS36" s="103"/>
      <c r="APT36" s="103"/>
      <c r="APU36" s="103"/>
      <c r="APV36" s="103"/>
      <c r="APW36" s="103"/>
      <c r="APX36" s="103"/>
      <c r="APY36" s="103"/>
      <c r="APZ36" s="103"/>
      <c r="AQA36" s="103"/>
      <c r="AQB36" s="103"/>
      <c r="AQC36" s="103"/>
      <c r="AQD36" s="103"/>
      <c r="AQE36" s="103"/>
      <c r="AQF36" s="103"/>
      <c r="AQG36" s="103"/>
      <c r="AQH36" s="103"/>
      <c r="AQI36" s="103"/>
      <c r="AQJ36" s="103"/>
      <c r="AQK36" s="103"/>
      <c r="AQL36" s="103"/>
      <c r="AQM36" s="103"/>
      <c r="AQN36" s="103"/>
      <c r="AQO36" s="103"/>
      <c r="AQP36" s="103"/>
      <c r="AQQ36" s="103"/>
      <c r="AQR36" s="103"/>
      <c r="AQS36" s="103"/>
      <c r="AQT36" s="103"/>
      <c r="AQU36" s="103"/>
      <c r="AQV36" s="103"/>
      <c r="AQW36" s="103"/>
      <c r="AQX36" s="103"/>
      <c r="AQY36" s="103"/>
      <c r="AQZ36" s="103"/>
      <c r="ARA36" s="103"/>
      <c r="ARB36" s="103"/>
      <c r="ARC36" s="103"/>
      <c r="ARD36" s="103"/>
      <c r="ARE36" s="103"/>
      <c r="ARF36" s="103"/>
      <c r="ARG36" s="103"/>
      <c r="ARH36" s="103"/>
      <c r="ARI36" s="103"/>
      <c r="ARJ36" s="103"/>
      <c r="ARK36" s="103"/>
      <c r="ARL36" s="103"/>
      <c r="ARM36" s="103"/>
      <c r="ARN36" s="103"/>
      <c r="ARO36" s="103"/>
      <c r="ARP36" s="103"/>
      <c r="ARQ36" s="103"/>
      <c r="ARR36" s="103"/>
      <c r="ARS36" s="103"/>
      <c r="ART36" s="103"/>
      <c r="ARU36" s="103"/>
      <c r="ARV36" s="103"/>
      <c r="ARW36" s="103"/>
      <c r="ARX36" s="103"/>
      <c r="ARY36" s="103"/>
      <c r="ARZ36" s="103"/>
      <c r="ASA36" s="103"/>
      <c r="ASB36" s="103"/>
      <c r="ASC36" s="103"/>
      <c r="ASD36" s="103"/>
      <c r="ASE36" s="103"/>
      <c r="ASF36" s="103"/>
      <c r="ASG36" s="103"/>
      <c r="ASH36" s="103"/>
      <c r="ASI36" s="103"/>
      <c r="ASJ36" s="103"/>
      <c r="ASK36" s="103"/>
      <c r="ASL36" s="103"/>
      <c r="ASM36" s="103"/>
      <c r="ASN36" s="103"/>
      <c r="ASO36" s="103"/>
      <c r="ASP36" s="103"/>
      <c r="ASQ36" s="103"/>
      <c r="ASR36" s="103"/>
      <c r="ASS36" s="103"/>
      <c r="AST36" s="103"/>
      <c r="ASU36" s="103"/>
      <c r="ASV36" s="103"/>
      <c r="ASW36" s="103"/>
      <c r="ASX36" s="103"/>
      <c r="ASY36" s="103"/>
      <c r="ASZ36" s="103"/>
      <c r="ATA36" s="103"/>
      <c r="ATB36" s="103"/>
      <c r="ATC36" s="103"/>
      <c r="ATD36" s="103"/>
      <c r="ATE36" s="103"/>
      <c r="ATF36" s="103"/>
      <c r="ATG36" s="103"/>
      <c r="ATH36" s="103"/>
      <c r="ATI36" s="103"/>
      <c r="ATJ36" s="103"/>
      <c r="ATK36" s="103"/>
      <c r="ATL36" s="103"/>
      <c r="ATM36" s="103"/>
      <c r="ATN36" s="103"/>
      <c r="ATO36" s="103"/>
      <c r="ATP36" s="103"/>
      <c r="ATQ36" s="103"/>
      <c r="ATR36" s="103"/>
      <c r="ATS36" s="103"/>
      <c r="ATT36" s="103"/>
      <c r="ATU36" s="103"/>
      <c r="ATV36" s="103"/>
      <c r="ATW36" s="103"/>
      <c r="ATX36" s="103"/>
      <c r="ATY36" s="103"/>
      <c r="ATZ36" s="103"/>
      <c r="AUA36" s="103"/>
      <c r="AUB36" s="103"/>
      <c r="AUC36" s="103"/>
      <c r="AUD36" s="103"/>
      <c r="AUE36" s="103"/>
      <c r="AUF36" s="103"/>
      <c r="AUG36" s="103"/>
      <c r="AUH36" s="103"/>
      <c r="AUI36" s="103"/>
      <c r="AUJ36" s="103"/>
      <c r="AUK36" s="103"/>
      <c r="AUL36" s="103"/>
      <c r="AUM36" s="103"/>
      <c r="AUN36" s="103"/>
      <c r="AUO36" s="103"/>
      <c r="AUP36" s="103"/>
      <c r="AUQ36" s="103"/>
      <c r="AUR36" s="103"/>
      <c r="AUS36" s="103"/>
      <c r="AUT36" s="103"/>
      <c r="AUU36" s="103"/>
      <c r="AUV36" s="103"/>
      <c r="AUW36" s="103"/>
      <c r="AUX36" s="103"/>
      <c r="AUY36" s="103"/>
      <c r="AUZ36" s="103"/>
      <c r="AVA36" s="103"/>
      <c r="AVB36" s="103"/>
      <c r="AVC36" s="103"/>
      <c r="AVD36" s="103"/>
      <c r="AVE36" s="103"/>
      <c r="AVF36" s="103"/>
      <c r="AVG36" s="103"/>
      <c r="AVH36" s="103"/>
      <c r="AVI36" s="103"/>
      <c r="AVJ36" s="103"/>
      <c r="AVK36" s="103"/>
      <c r="AVL36" s="103"/>
      <c r="AVM36" s="103"/>
      <c r="AVN36" s="103"/>
      <c r="AVO36" s="103"/>
      <c r="AVP36" s="103"/>
      <c r="AVQ36" s="103"/>
      <c r="AVR36" s="103"/>
      <c r="AVS36" s="103"/>
      <c r="AVT36" s="103"/>
      <c r="AVU36" s="103"/>
      <c r="AVV36" s="103"/>
      <c r="AVW36" s="103"/>
      <c r="AVX36" s="103"/>
      <c r="AVY36" s="103"/>
      <c r="AVZ36" s="103"/>
      <c r="AWA36" s="103"/>
      <c r="AWB36" s="103"/>
      <c r="AWC36" s="103"/>
      <c r="AWD36" s="103"/>
      <c r="AWE36" s="103"/>
      <c r="AWF36" s="103"/>
      <c r="AWG36" s="103"/>
      <c r="AWH36" s="103"/>
      <c r="AWI36" s="103"/>
      <c r="AWJ36" s="103"/>
      <c r="AWK36" s="103"/>
      <c r="AWL36" s="103"/>
      <c r="AWM36" s="103"/>
      <c r="AWN36" s="103"/>
      <c r="AWO36" s="103"/>
      <c r="AWP36" s="103"/>
      <c r="AWQ36" s="103"/>
      <c r="AWR36" s="103"/>
      <c r="AWS36" s="103"/>
      <c r="AWT36" s="103"/>
      <c r="AWU36" s="103"/>
      <c r="AWV36" s="103"/>
      <c r="AWW36" s="103"/>
      <c r="AWX36" s="103"/>
      <c r="AWY36" s="103"/>
      <c r="AWZ36" s="103"/>
      <c r="AXA36" s="103"/>
      <c r="AXB36" s="103"/>
      <c r="AXC36" s="103"/>
      <c r="AXD36" s="103"/>
      <c r="AXE36" s="103"/>
      <c r="AXF36" s="103"/>
      <c r="AXG36" s="103"/>
      <c r="AXH36" s="103"/>
      <c r="AXI36" s="103"/>
      <c r="AXJ36" s="103"/>
      <c r="AXK36" s="103"/>
      <c r="AXL36" s="103"/>
      <c r="AXM36" s="103"/>
      <c r="AXN36" s="103"/>
      <c r="AXO36" s="103"/>
      <c r="AXP36" s="103"/>
      <c r="AXQ36" s="103"/>
      <c r="AXR36" s="103"/>
      <c r="AXS36" s="103"/>
      <c r="AXT36" s="103"/>
      <c r="AXU36" s="103"/>
      <c r="AXV36" s="103"/>
      <c r="AXW36" s="103"/>
      <c r="AXX36" s="103"/>
      <c r="AXY36" s="103"/>
      <c r="AXZ36" s="103"/>
      <c r="AYA36" s="103"/>
      <c r="AYB36" s="103"/>
      <c r="AYC36" s="103"/>
      <c r="AYD36" s="103"/>
      <c r="AYE36" s="103"/>
      <c r="AYF36" s="103"/>
      <c r="AYG36" s="103"/>
      <c r="AYH36" s="103"/>
      <c r="AYI36" s="103"/>
      <c r="AYJ36" s="103"/>
      <c r="AYK36" s="103"/>
      <c r="AYL36" s="103"/>
      <c r="AYM36" s="103"/>
      <c r="AYN36" s="103"/>
      <c r="AYO36" s="103"/>
      <c r="AYP36" s="103"/>
      <c r="AYQ36" s="103"/>
      <c r="AYR36" s="103"/>
      <c r="AYS36" s="103"/>
      <c r="AYT36" s="103"/>
      <c r="AYU36" s="103"/>
      <c r="AYV36" s="103"/>
      <c r="AYW36" s="103"/>
      <c r="AYX36" s="103"/>
      <c r="AYY36" s="103"/>
      <c r="AYZ36" s="103"/>
      <c r="AZA36" s="103"/>
      <c r="AZB36" s="103"/>
      <c r="AZC36" s="103"/>
      <c r="AZD36" s="103"/>
      <c r="AZE36" s="103"/>
      <c r="AZF36" s="103"/>
      <c r="AZG36" s="103"/>
      <c r="AZH36" s="103"/>
      <c r="AZI36" s="103"/>
      <c r="AZJ36" s="103"/>
      <c r="AZK36" s="103"/>
      <c r="AZL36" s="103"/>
      <c r="AZM36" s="103"/>
      <c r="AZN36" s="103"/>
      <c r="AZO36" s="103"/>
      <c r="AZP36" s="103"/>
      <c r="AZQ36" s="103"/>
      <c r="AZR36" s="103"/>
      <c r="AZS36" s="103"/>
      <c r="AZT36" s="103"/>
      <c r="AZU36" s="103"/>
      <c r="AZV36" s="103"/>
      <c r="AZW36" s="103"/>
      <c r="AZX36" s="103"/>
      <c r="AZY36" s="103"/>
      <c r="AZZ36" s="103"/>
      <c r="BAA36" s="103"/>
      <c r="BAB36" s="103"/>
      <c r="BAC36" s="103"/>
      <c r="BAD36" s="103"/>
      <c r="BAE36" s="103"/>
      <c r="BAF36" s="103"/>
      <c r="BAG36" s="103"/>
      <c r="BAH36" s="103"/>
      <c r="BAI36" s="103"/>
      <c r="BAJ36" s="103"/>
      <c r="BAK36" s="103"/>
      <c r="BAL36" s="103"/>
      <c r="BAM36" s="103"/>
      <c r="BAN36" s="103"/>
      <c r="BAO36" s="103"/>
      <c r="BAP36" s="103"/>
      <c r="BAQ36" s="103"/>
      <c r="BAR36" s="103"/>
      <c r="BAS36" s="103"/>
      <c r="BAT36" s="103"/>
      <c r="BAU36" s="103"/>
      <c r="BAV36" s="103"/>
      <c r="BAW36" s="103"/>
      <c r="BAX36" s="103"/>
      <c r="BAY36" s="103"/>
      <c r="BAZ36" s="103"/>
      <c r="BBA36" s="103"/>
      <c r="BBB36" s="103"/>
      <c r="BBC36" s="103"/>
      <c r="BBD36" s="103"/>
      <c r="BBE36" s="103"/>
      <c r="BBF36" s="103"/>
      <c r="BBG36" s="103"/>
      <c r="BBH36" s="103"/>
      <c r="BBI36" s="103"/>
      <c r="BBJ36" s="103"/>
      <c r="BBK36" s="103"/>
      <c r="BBL36" s="103"/>
      <c r="BBM36" s="103"/>
      <c r="BBN36" s="103"/>
      <c r="BBO36" s="103"/>
      <c r="BBP36" s="103"/>
      <c r="BBQ36" s="103"/>
      <c r="BBR36" s="103"/>
      <c r="BBS36" s="103"/>
      <c r="BBT36" s="103"/>
      <c r="BBU36" s="103"/>
      <c r="BBV36" s="103"/>
      <c r="BBW36" s="103"/>
      <c r="BBX36" s="103"/>
      <c r="BBY36" s="103"/>
      <c r="BBZ36" s="103"/>
      <c r="BCA36" s="103"/>
      <c r="BCB36" s="103"/>
      <c r="BCC36" s="103"/>
      <c r="BCD36" s="103"/>
      <c r="BCE36" s="103"/>
      <c r="BCF36" s="103"/>
      <c r="BCG36" s="103"/>
      <c r="BCH36" s="103"/>
      <c r="BCI36" s="103"/>
      <c r="BCJ36" s="103"/>
      <c r="BCK36" s="103"/>
      <c r="BCL36" s="103"/>
      <c r="BCM36" s="103"/>
      <c r="BCN36" s="103"/>
      <c r="BCO36" s="103"/>
      <c r="BCP36" s="103"/>
      <c r="BCQ36" s="103"/>
      <c r="BCR36" s="103"/>
      <c r="BCS36" s="103"/>
      <c r="BCT36" s="103"/>
      <c r="BCU36" s="103"/>
      <c r="BCV36" s="103"/>
      <c r="BCW36" s="103"/>
      <c r="BCX36" s="103"/>
      <c r="BCY36" s="103"/>
      <c r="BCZ36" s="103"/>
      <c r="BDA36" s="103"/>
      <c r="BDB36" s="103"/>
      <c r="BDC36" s="103"/>
      <c r="BDD36" s="103"/>
      <c r="BDE36" s="103"/>
      <c r="BDF36" s="103"/>
      <c r="BDG36" s="103"/>
      <c r="BDH36" s="103"/>
      <c r="BDI36" s="103"/>
      <c r="BDJ36" s="103"/>
      <c r="BDK36" s="103"/>
      <c r="BDL36" s="103"/>
      <c r="BDM36" s="103"/>
      <c r="BDN36" s="103"/>
      <c r="BDO36" s="103"/>
      <c r="BDP36" s="103"/>
      <c r="BDQ36" s="103"/>
      <c r="BDR36" s="103"/>
      <c r="BDS36" s="103"/>
      <c r="BDT36" s="103"/>
      <c r="BDU36" s="103"/>
      <c r="BDV36" s="103"/>
      <c r="BDW36" s="103"/>
      <c r="BDX36" s="103"/>
      <c r="BDY36" s="103"/>
      <c r="BDZ36" s="103"/>
      <c r="BEA36" s="103"/>
      <c r="BEB36" s="103"/>
      <c r="BEC36" s="103"/>
      <c r="BED36" s="103"/>
      <c r="BEE36" s="103"/>
      <c r="BEF36" s="103"/>
      <c r="BEG36" s="103"/>
      <c r="BEH36" s="103"/>
      <c r="BEI36" s="103"/>
      <c r="BEJ36" s="103"/>
      <c r="BEK36" s="103"/>
      <c r="BEL36" s="103"/>
      <c r="BEM36" s="103"/>
      <c r="BEN36" s="103"/>
      <c r="BEO36" s="103"/>
      <c r="BEP36" s="103"/>
      <c r="BEQ36" s="103"/>
      <c r="BER36" s="103"/>
      <c r="BES36" s="103"/>
      <c r="BET36" s="103"/>
      <c r="BEU36" s="103"/>
      <c r="BEV36" s="103"/>
      <c r="BEW36" s="103"/>
      <c r="BEX36" s="103"/>
      <c r="BEY36" s="103"/>
      <c r="BEZ36" s="103"/>
      <c r="BFA36" s="103"/>
      <c r="BFB36" s="103"/>
      <c r="BFC36" s="103"/>
      <c r="BFD36" s="103"/>
      <c r="BFE36" s="103"/>
      <c r="BFF36" s="103"/>
      <c r="BFG36" s="103"/>
      <c r="BFH36" s="103"/>
      <c r="BFI36" s="103"/>
      <c r="BFJ36" s="103"/>
      <c r="BFK36" s="103"/>
      <c r="BFL36" s="103"/>
      <c r="BFM36" s="103"/>
      <c r="BFN36" s="103"/>
      <c r="BFO36" s="103"/>
      <c r="BFP36" s="103"/>
      <c r="BFQ36" s="103"/>
      <c r="BFR36" s="103"/>
      <c r="BFS36" s="103"/>
      <c r="BFT36" s="103"/>
      <c r="BFU36" s="103"/>
      <c r="BFV36" s="103"/>
      <c r="BFW36" s="103"/>
      <c r="BFX36" s="103"/>
      <c r="BFY36" s="103"/>
      <c r="BFZ36" s="103"/>
      <c r="BGA36" s="103"/>
      <c r="BGB36" s="103"/>
      <c r="BGC36" s="103"/>
      <c r="BGD36" s="103"/>
      <c r="BGE36" s="103"/>
      <c r="BGF36" s="103"/>
      <c r="BGG36" s="103"/>
      <c r="BGH36" s="103"/>
      <c r="BGI36" s="103"/>
      <c r="BGJ36" s="103"/>
      <c r="BGK36" s="103"/>
      <c r="BGL36" s="103"/>
      <c r="BGM36" s="103"/>
      <c r="BGN36" s="103"/>
      <c r="BGO36" s="103"/>
      <c r="BGP36" s="103"/>
      <c r="BGQ36" s="103"/>
      <c r="BGR36" s="103"/>
      <c r="BGS36" s="103"/>
      <c r="BGT36" s="103"/>
      <c r="BGU36" s="103"/>
      <c r="BGV36" s="103"/>
      <c r="BGW36" s="103"/>
      <c r="BGX36" s="103"/>
      <c r="BGY36" s="103"/>
      <c r="BGZ36" s="103"/>
      <c r="BHA36" s="103"/>
      <c r="BHB36" s="103"/>
      <c r="BHC36" s="103"/>
      <c r="BHD36" s="103"/>
      <c r="BHE36" s="103"/>
      <c r="BHF36" s="103"/>
      <c r="BHG36" s="103"/>
      <c r="BHH36" s="103"/>
      <c r="BHI36" s="103"/>
      <c r="BHJ36" s="103"/>
      <c r="BHK36" s="103"/>
      <c r="BHL36" s="103"/>
      <c r="BHM36" s="103"/>
      <c r="BHN36" s="103"/>
      <c r="BHO36" s="103"/>
      <c r="BHP36" s="103"/>
      <c r="BHQ36" s="103"/>
      <c r="BHR36" s="103"/>
      <c r="BHS36" s="103"/>
      <c r="BHT36" s="103"/>
      <c r="BHU36" s="103"/>
      <c r="BHV36" s="103"/>
      <c r="BHW36" s="103"/>
      <c r="BHX36" s="103"/>
      <c r="BHY36" s="103"/>
      <c r="BHZ36" s="103"/>
      <c r="BIA36" s="103"/>
      <c r="BIB36" s="103"/>
      <c r="BIC36" s="103"/>
      <c r="BID36" s="103"/>
      <c r="BIE36" s="103"/>
      <c r="BIF36" s="103"/>
      <c r="BIG36" s="103"/>
      <c r="BIH36" s="103"/>
      <c r="BII36" s="103"/>
      <c r="BIJ36" s="103"/>
      <c r="BIK36" s="103"/>
      <c r="BIL36" s="103"/>
      <c r="BIM36" s="103"/>
      <c r="BIN36" s="103"/>
      <c r="BIO36" s="103"/>
      <c r="BIP36" s="103"/>
      <c r="BIQ36" s="103"/>
      <c r="BIR36" s="103"/>
      <c r="BIS36" s="103"/>
      <c r="BIT36" s="103"/>
      <c r="BIU36" s="103"/>
      <c r="BIV36" s="103"/>
      <c r="BIW36" s="103"/>
      <c r="BIX36" s="103"/>
      <c r="BIY36" s="103"/>
      <c r="BIZ36" s="103"/>
      <c r="BJA36" s="103"/>
      <c r="BJB36" s="103"/>
      <c r="BJC36" s="103"/>
      <c r="BJD36" s="103"/>
      <c r="BJE36" s="103"/>
      <c r="BJF36" s="103"/>
      <c r="BJG36" s="103"/>
      <c r="BJH36" s="103"/>
      <c r="BJI36" s="103"/>
      <c r="BJJ36" s="103"/>
      <c r="BJK36" s="103"/>
      <c r="BJL36" s="103"/>
      <c r="BJM36" s="103"/>
      <c r="BJN36" s="103"/>
      <c r="BJO36" s="103"/>
      <c r="BJP36" s="103"/>
      <c r="BJQ36" s="103"/>
      <c r="BJR36" s="103"/>
      <c r="BJS36" s="103"/>
      <c r="BJT36" s="103"/>
      <c r="BJU36" s="103"/>
      <c r="BJV36" s="103"/>
      <c r="BJW36" s="103"/>
      <c r="BJX36" s="103"/>
      <c r="BJY36" s="103"/>
      <c r="BJZ36" s="103"/>
      <c r="BKA36" s="103"/>
      <c r="BKB36" s="103"/>
      <c r="BKC36" s="103"/>
      <c r="BKD36" s="103"/>
      <c r="BKE36" s="103"/>
      <c r="BKF36" s="103"/>
      <c r="BKG36" s="103"/>
      <c r="BKH36" s="103"/>
      <c r="BKI36" s="103"/>
      <c r="BKJ36" s="103"/>
      <c r="BKK36" s="103"/>
      <c r="BKL36" s="103"/>
      <c r="BKM36" s="103"/>
      <c r="BKN36" s="103"/>
      <c r="BKO36" s="103"/>
      <c r="BKP36" s="103"/>
      <c r="BKQ36" s="103"/>
      <c r="BKR36" s="103"/>
      <c r="BKS36" s="103"/>
      <c r="BKT36" s="103"/>
      <c r="BKU36" s="103"/>
      <c r="BKV36" s="103"/>
      <c r="BKW36" s="103"/>
      <c r="BKX36" s="103"/>
      <c r="BKY36" s="103"/>
      <c r="BKZ36" s="103"/>
      <c r="BLA36" s="103"/>
      <c r="BLB36" s="103"/>
      <c r="BLC36" s="103"/>
      <c r="BLD36" s="103"/>
      <c r="BLE36" s="103"/>
      <c r="BLF36" s="103"/>
      <c r="BLG36" s="103"/>
      <c r="BLH36" s="103"/>
      <c r="BLI36" s="103"/>
      <c r="BLJ36" s="103"/>
      <c r="BLK36" s="103"/>
      <c r="BLL36" s="103"/>
      <c r="BLM36" s="103"/>
      <c r="BLN36" s="103"/>
      <c r="BLO36" s="103"/>
      <c r="BLP36" s="103"/>
      <c r="BLQ36" s="103"/>
      <c r="BLR36" s="103"/>
      <c r="BLS36" s="103"/>
      <c r="BLT36" s="103"/>
      <c r="BLU36" s="103"/>
      <c r="BLV36" s="103"/>
      <c r="BLW36" s="103"/>
      <c r="BLX36" s="103"/>
      <c r="BLY36" s="103"/>
      <c r="BLZ36" s="103"/>
      <c r="BMA36" s="103"/>
      <c r="BMB36" s="103"/>
      <c r="BMC36" s="103"/>
      <c r="BMD36" s="103"/>
      <c r="BME36" s="103"/>
      <c r="BMF36" s="103"/>
      <c r="BMG36" s="103"/>
      <c r="BMH36" s="103"/>
      <c r="BMI36" s="103"/>
      <c r="BMJ36" s="103"/>
      <c r="BMK36" s="103"/>
      <c r="BML36" s="103"/>
      <c r="BMM36" s="103"/>
      <c r="BMN36" s="103"/>
      <c r="BMO36" s="103"/>
      <c r="BMP36" s="103"/>
      <c r="BMQ36" s="103"/>
      <c r="BMR36" s="103"/>
      <c r="BMS36" s="103"/>
      <c r="BMT36" s="103"/>
      <c r="BMU36" s="103"/>
      <c r="BMV36" s="103"/>
      <c r="BMW36" s="103"/>
      <c r="BMX36" s="103"/>
      <c r="BMY36" s="103"/>
      <c r="BMZ36" s="103"/>
      <c r="BNA36" s="103"/>
      <c r="BNB36" s="103"/>
      <c r="BNC36" s="103"/>
      <c r="BND36" s="103"/>
      <c r="BNE36" s="103"/>
      <c r="BNF36" s="103"/>
      <c r="BNG36" s="103"/>
      <c r="BNH36" s="103"/>
      <c r="BNI36" s="103"/>
      <c r="BNJ36" s="103"/>
      <c r="BNK36" s="103"/>
      <c r="BNL36" s="103"/>
      <c r="BNM36" s="103"/>
      <c r="BNN36" s="103"/>
      <c r="BNO36" s="103"/>
      <c r="BNP36" s="103"/>
      <c r="BNQ36" s="103"/>
      <c r="BNR36" s="103"/>
      <c r="BNS36" s="103"/>
      <c r="BNT36" s="103"/>
      <c r="BNU36" s="103"/>
      <c r="BNV36" s="103"/>
      <c r="BNW36" s="103"/>
      <c r="BNX36" s="103"/>
      <c r="BNY36" s="103"/>
      <c r="BNZ36" s="103"/>
      <c r="BOA36" s="103"/>
      <c r="BOB36" s="103"/>
      <c r="BOC36" s="103"/>
      <c r="BOD36" s="103"/>
      <c r="BOE36" s="103"/>
      <c r="BOF36" s="103"/>
      <c r="BOG36" s="103"/>
      <c r="BOH36" s="103"/>
      <c r="BOI36" s="103"/>
      <c r="BOJ36" s="103"/>
      <c r="BOK36" s="103"/>
      <c r="BOL36" s="103"/>
      <c r="BOM36" s="103"/>
      <c r="BON36" s="103"/>
      <c r="BOO36" s="103"/>
      <c r="BOP36" s="103"/>
      <c r="BOQ36" s="103"/>
      <c r="BOR36" s="103"/>
      <c r="BOS36" s="103"/>
      <c r="BOT36" s="103"/>
      <c r="BOU36" s="103"/>
      <c r="BOV36" s="103"/>
      <c r="BOW36" s="103"/>
      <c r="BOX36" s="103"/>
      <c r="BOY36" s="103"/>
      <c r="BOZ36" s="103"/>
      <c r="BPA36" s="103"/>
      <c r="BPB36" s="103"/>
      <c r="BPC36" s="103"/>
      <c r="BPD36" s="103"/>
      <c r="BPE36" s="103"/>
      <c r="BPF36" s="103"/>
      <c r="BPG36" s="103"/>
      <c r="BPH36" s="103"/>
      <c r="BPI36" s="103"/>
      <c r="BPJ36" s="103"/>
      <c r="BPK36" s="103"/>
      <c r="BPL36" s="103"/>
      <c r="BPM36" s="103"/>
      <c r="BPN36" s="103"/>
      <c r="BPO36" s="103"/>
      <c r="BPP36" s="103"/>
      <c r="BPQ36" s="103"/>
      <c r="BPR36" s="103"/>
      <c r="BPS36" s="103"/>
      <c r="BPT36" s="103"/>
      <c r="BPU36" s="103"/>
      <c r="BPV36" s="103"/>
      <c r="BPW36" s="103"/>
      <c r="BPX36" s="103"/>
      <c r="BPY36" s="103"/>
      <c r="BPZ36" s="103"/>
      <c r="BQA36" s="103"/>
      <c r="BQB36" s="103"/>
      <c r="BQC36" s="103"/>
      <c r="BQD36" s="103"/>
      <c r="BQE36" s="103"/>
      <c r="BQF36" s="103"/>
      <c r="BQG36" s="103"/>
      <c r="BQH36" s="103"/>
      <c r="BQI36" s="103"/>
      <c r="BQJ36" s="103"/>
      <c r="BQK36" s="103"/>
      <c r="BQL36" s="103"/>
      <c r="BQM36" s="103"/>
      <c r="BQN36" s="103"/>
      <c r="BQO36" s="103"/>
      <c r="BQP36" s="103"/>
      <c r="BQQ36" s="103"/>
      <c r="BQR36" s="103"/>
      <c r="BQS36" s="103"/>
      <c r="BQT36" s="103"/>
      <c r="BQU36" s="103"/>
      <c r="BQV36" s="103"/>
      <c r="BQW36" s="103"/>
      <c r="BQX36" s="103"/>
      <c r="BQY36" s="103"/>
      <c r="BQZ36" s="103"/>
      <c r="BRA36" s="103"/>
      <c r="BRB36" s="103"/>
      <c r="BRC36" s="103"/>
      <c r="BRD36" s="103"/>
      <c r="BRE36" s="103"/>
      <c r="BRF36" s="103"/>
      <c r="BRG36" s="103"/>
      <c r="BRH36" s="103"/>
      <c r="BRI36" s="103"/>
      <c r="BRJ36" s="103"/>
      <c r="BRK36" s="103"/>
      <c r="BRL36" s="103"/>
      <c r="BRM36" s="103"/>
      <c r="BRN36" s="103"/>
      <c r="BRO36" s="103"/>
      <c r="BRP36" s="103"/>
      <c r="BRQ36" s="103"/>
      <c r="BRR36" s="103"/>
      <c r="BRS36" s="103"/>
      <c r="BRT36" s="103"/>
      <c r="BRU36" s="103"/>
      <c r="BRV36" s="103"/>
      <c r="BRW36" s="103"/>
      <c r="BRX36" s="103"/>
      <c r="BRY36" s="103"/>
      <c r="BRZ36" s="103"/>
      <c r="BSA36" s="103"/>
      <c r="BSB36" s="103"/>
      <c r="BSC36" s="103"/>
      <c r="BSD36" s="103"/>
      <c r="BSE36" s="103"/>
      <c r="BSF36" s="103"/>
      <c r="BSG36" s="103"/>
      <c r="BSH36" s="103"/>
      <c r="BSI36" s="103"/>
      <c r="BSJ36" s="103"/>
      <c r="BSK36" s="103"/>
      <c r="BSL36" s="103"/>
      <c r="BSM36" s="103"/>
      <c r="BSN36" s="103"/>
      <c r="BSO36" s="103"/>
      <c r="BSP36" s="103"/>
      <c r="BSQ36" s="103"/>
      <c r="BSR36" s="103"/>
      <c r="BSS36" s="103"/>
      <c r="BST36" s="103"/>
      <c r="BSU36" s="103"/>
      <c r="BSV36" s="103"/>
      <c r="BSW36" s="103"/>
      <c r="BSX36" s="103"/>
      <c r="BSY36" s="103"/>
      <c r="BSZ36" s="103"/>
      <c r="BTA36" s="103"/>
      <c r="BTB36" s="103"/>
      <c r="BTC36" s="103"/>
      <c r="BTD36" s="103"/>
      <c r="BTE36" s="103"/>
      <c r="BTF36" s="103"/>
      <c r="BTG36" s="103"/>
      <c r="BTH36" s="103"/>
      <c r="BTI36" s="103"/>
      <c r="BTJ36" s="103"/>
      <c r="BTK36" s="103"/>
      <c r="BTL36" s="103"/>
      <c r="BTM36" s="103"/>
      <c r="BTN36" s="103"/>
      <c r="BTO36" s="103"/>
      <c r="BTP36" s="103"/>
      <c r="BTQ36" s="103"/>
      <c r="BTR36" s="103"/>
      <c r="BTS36" s="103"/>
      <c r="BTT36" s="103"/>
      <c r="BTU36" s="103"/>
      <c r="BTV36" s="103"/>
      <c r="BTW36" s="103"/>
      <c r="BTX36" s="103"/>
      <c r="BTY36" s="103"/>
      <c r="BTZ36" s="103"/>
      <c r="BUA36" s="103"/>
      <c r="BUB36" s="103"/>
      <c r="BUC36" s="103"/>
      <c r="BUD36" s="103"/>
      <c r="BUE36" s="103"/>
      <c r="BUF36" s="103"/>
      <c r="BUG36" s="103"/>
      <c r="BUH36" s="103"/>
      <c r="BUI36" s="103"/>
      <c r="BUJ36" s="103"/>
      <c r="BUK36" s="103"/>
      <c r="BUL36" s="103"/>
      <c r="BUM36" s="103"/>
      <c r="BUN36" s="103"/>
      <c r="BUO36" s="103"/>
      <c r="BUP36" s="103"/>
      <c r="BUQ36" s="103"/>
      <c r="BUR36" s="103"/>
      <c r="BUS36" s="103"/>
      <c r="BUT36" s="103"/>
      <c r="BUU36" s="103"/>
      <c r="BUV36" s="103"/>
      <c r="BUW36" s="103"/>
      <c r="BUX36" s="103"/>
      <c r="BUY36" s="103"/>
      <c r="BUZ36" s="103"/>
      <c r="BVA36" s="103"/>
      <c r="BVB36" s="103"/>
      <c r="BVC36" s="103"/>
      <c r="BVD36" s="103"/>
      <c r="BVE36" s="103"/>
      <c r="BVF36" s="103"/>
      <c r="BVG36" s="103"/>
      <c r="BVH36" s="103"/>
      <c r="BVI36" s="103"/>
      <c r="BVJ36" s="103"/>
      <c r="BVK36" s="103"/>
      <c r="BVL36" s="103"/>
      <c r="BVM36" s="103"/>
      <c r="BVN36" s="103"/>
      <c r="BVO36" s="103"/>
      <c r="BVP36" s="103"/>
      <c r="BVQ36" s="103"/>
      <c r="BVR36" s="103"/>
      <c r="BVS36" s="103"/>
      <c r="BVT36" s="103"/>
      <c r="BVU36" s="103"/>
      <c r="BVV36" s="103"/>
      <c r="BVW36" s="103"/>
      <c r="BVX36" s="103"/>
      <c r="BVY36" s="103"/>
      <c r="BVZ36" s="103"/>
      <c r="BWA36" s="103"/>
      <c r="BWB36" s="103"/>
      <c r="BWC36" s="103"/>
      <c r="BWD36" s="103"/>
      <c r="BWE36" s="103"/>
      <c r="BWF36" s="103"/>
      <c r="BWG36" s="103"/>
      <c r="BWH36" s="103"/>
      <c r="BWI36" s="103"/>
      <c r="BWJ36" s="103"/>
      <c r="BWK36" s="103"/>
      <c r="BWL36" s="103"/>
      <c r="BWM36" s="103"/>
      <c r="BWN36" s="103"/>
      <c r="BWO36" s="103"/>
      <c r="BWP36" s="103"/>
      <c r="BWQ36" s="103"/>
      <c r="BWR36" s="103"/>
      <c r="BWS36" s="103"/>
      <c r="BWT36" s="103"/>
      <c r="BWU36" s="103"/>
      <c r="BWV36" s="103"/>
      <c r="BWW36" s="103"/>
      <c r="BWX36" s="103"/>
      <c r="BWY36" s="103"/>
      <c r="BWZ36" s="103"/>
      <c r="BXA36" s="103"/>
      <c r="BXB36" s="103"/>
      <c r="BXC36" s="103"/>
      <c r="BXD36" s="103"/>
      <c r="BXE36" s="103"/>
      <c r="BXF36" s="103"/>
      <c r="BXG36" s="103"/>
      <c r="BXH36" s="103"/>
      <c r="BXI36" s="103"/>
      <c r="BXJ36" s="103"/>
      <c r="BXK36" s="103"/>
      <c r="BXL36" s="103"/>
      <c r="BXM36" s="103"/>
      <c r="BXN36" s="103"/>
      <c r="BXO36" s="103"/>
      <c r="BXP36" s="103"/>
      <c r="BXQ36" s="103"/>
      <c r="BXR36" s="103"/>
      <c r="BXS36" s="103"/>
      <c r="BXT36" s="103"/>
      <c r="BXU36" s="103"/>
      <c r="BXV36" s="103"/>
      <c r="BXW36" s="103"/>
      <c r="BXX36" s="103"/>
      <c r="BXY36" s="103"/>
      <c r="BXZ36" s="103"/>
      <c r="BYA36" s="103"/>
      <c r="BYB36" s="103"/>
      <c r="BYC36" s="103"/>
      <c r="BYD36" s="103"/>
      <c r="BYE36" s="103"/>
      <c r="BYF36" s="103"/>
      <c r="BYG36" s="103"/>
      <c r="BYH36" s="103"/>
      <c r="BYI36" s="103"/>
      <c r="BYJ36" s="103"/>
      <c r="BYK36" s="103"/>
      <c r="BYL36" s="103"/>
      <c r="BYM36" s="103"/>
      <c r="BYN36" s="103"/>
      <c r="BYO36" s="103"/>
      <c r="BYP36" s="103"/>
      <c r="BYQ36" s="103"/>
      <c r="BYR36" s="103"/>
      <c r="BYS36" s="103"/>
      <c r="BYT36" s="103"/>
      <c r="BYU36" s="103"/>
      <c r="BYV36" s="103"/>
      <c r="BYW36" s="103"/>
      <c r="BYX36" s="103"/>
      <c r="BYY36" s="103"/>
      <c r="BYZ36" s="103"/>
      <c r="BZA36" s="103"/>
      <c r="BZB36" s="103"/>
      <c r="BZC36" s="103"/>
      <c r="BZD36" s="103"/>
      <c r="BZE36" s="103"/>
      <c r="BZF36" s="103"/>
      <c r="BZG36" s="103"/>
      <c r="BZH36" s="103"/>
      <c r="BZI36" s="103"/>
      <c r="BZJ36" s="103"/>
      <c r="BZK36" s="103"/>
      <c r="BZL36" s="103"/>
      <c r="BZM36" s="103"/>
      <c r="BZN36" s="103"/>
      <c r="BZO36" s="103"/>
      <c r="BZP36" s="103"/>
      <c r="BZQ36" s="103"/>
      <c r="BZR36" s="103"/>
      <c r="BZS36" s="103"/>
      <c r="BZT36" s="103"/>
      <c r="BZU36" s="103"/>
      <c r="BZV36" s="103"/>
      <c r="BZW36" s="103"/>
      <c r="BZX36" s="103"/>
      <c r="BZY36" s="103"/>
      <c r="BZZ36" s="103"/>
      <c r="CAA36" s="103"/>
      <c r="CAB36" s="103"/>
      <c r="CAC36" s="103"/>
      <c r="CAD36" s="103"/>
      <c r="CAE36" s="103"/>
      <c r="CAF36" s="103"/>
      <c r="CAG36" s="103"/>
      <c r="CAH36" s="103"/>
      <c r="CAI36" s="103"/>
      <c r="CAJ36" s="103"/>
      <c r="CAK36" s="103"/>
      <c r="CAL36" s="103"/>
      <c r="CAM36" s="103"/>
      <c r="CAN36" s="103"/>
      <c r="CAO36" s="103"/>
      <c r="CAP36" s="103"/>
      <c r="CAQ36" s="103"/>
      <c r="CAR36" s="103"/>
      <c r="CAS36" s="103"/>
      <c r="CAT36" s="103"/>
      <c r="CAU36" s="103"/>
      <c r="CAV36" s="103"/>
      <c r="CAW36" s="103"/>
      <c r="CAX36" s="103"/>
      <c r="CAY36" s="103"/>
      <c r="CAZ36" s="103"/>
      <c r="CBA36" s="103"/>
      <c r="CBB36" s="103"/>
      <c r="CBC36" s="103"/>
      <c r="CBD36" s="103"/>
      <c r="CBE36" s="103"/>
      <c r="CBF36" s="103"/>
      <c r="CBG36" s="103"/>
      <c r="CBH36" s="103"/>
      <c r="CBI36" s="103"/>
      <c r="CBJ36" s="103"/>
      <c r="CBK36" s="103"/>
      <c r="CBL36" s="103"/>
      <c r="CBM36" s="103"/>
      <c r="CBN36" s="103"/>
      <c r="CBO36" s="103"/>
      <c r="CBP36" s="103"/>
      <c r="CBQ36" s="103"/>
      <c r="CBR36" s="103"/>
      <c r="CBS36" s="103"/>
      <c r="CBT36" s="103"/>
      <c r="CBU36" s="103"/>
      <c r="CBV36" s="103"/>
      <c r="CBW36" s="103"/>
      <c r="CBX36" s="103"/>
      <c r="CBY36" s="103"/>
      <c r="CBZ36" s="103"/>
      <c r="CCA36" s="103"/>
      <c r="CCB36" s="103"/>
      <c r="CCC36" s="103"/>
      <c r="CCD36" s="103"/>
      <c r="CCE36" s="103"/>
      <c r="CCF36" s="103"/>
      <c r="CCG36" s="103"/>
      <c r="CCH36" s="103"/>
      <c r="CCI36" s="103"/>
      <c r="CCJ36" s="103"/>
      <c r="CCK36" s="103"/>
      <c r="CCL36" s="103"/>
      <c r="CCM36" s="103"/>
      <c r="CCN36" s="103"/>
      <c r="CCO36" s="103"/>
      <c r="CCP36" s="103"/>
      <c r="CCQ36" s="103"/>
      <c r="CCR36" s="103"/>
      <c r="CCS36" s="103"/>
      <c r="CCT36" s="103"/>
      <c r="CCU36" s="103"/>
      <c r="CCV36" s="103"/>
      <c r="CCW36" s="103"/>
      <c r="CCX36" s="103"/>
      <c r="CCY36" s="103"/>
      <c r="CCZ36" s="103"/>
      <c r="CDA36" s="103"/>
      <c r="CDB36" s="103"/>
      <c r="CDC36" s="103"/>
      <c r="CDD36" s="103"/>
      <c r="CDE36" s="103"/>
      <c r="CDF36" s="103"/>
      <c r="CDG36" s="103"/>
      <c r="CDH36" s="103"/>
      <c r="CDI36" s="103"/>
      <c r="CDJ36" s="103"/>
      <c r="CDK36" s="103"/>
      <c r="CDL36" s="103"/>
      <c r="CDM36" s="103"/>
      <c r="CDN36" s="103"/>
      <c r="CDO36" s="103"/>
      <c r="CDP36" s="103"/>
      <c r="CDQ36" s="103"/>
      <c r="CDR36" s="103"/>
      <c r="CDS36" s="103"/>
      <c r="CDT36" s="103"/>
      <c r="CDU36" s="103"/>
      <c r="CDV36" s="103"/>
      <c r="CDW36" s="103"/>
      <c r="CDX36" s="103"/>
      <c r="CDY36" s="103"/>
      <c r="CDZ36" s="103"/>
      <c r="CEA36" s="103"/>
      <c r="CEB36" s="103"/>
      <c r="CEC36" s="103"/>
      <c r="CED36" s="103"/>
      <c r="CEE36" s="103"/>
      <c r="CEF36" s="103"/>
      <c r="CEG36" s="103"/>
      <c r="CEH36" s="103"/>
      <c r="CEI36" s="103"/>
      <c r="CEJ36" s="103"/>
      <c r="CEK36" s="103"/>
      <c r="CEL36" s="103"/>
      <c r="CEM36" s="103"/>
      <c r="CEN36" s="103"/>
      <c r="CEO36" s="103"/>
      <c r="CEP36" s="103"/>
      <c r="CEQ36" s="103"/>
      <c r="CER36" s="103"/>
      <c r="CES36" s="103"/>
      <c r="CET36" s="103"/>
      <c r="CEU36" s="103"/>
      <c r="CEV36" s="103"/>
      <c r="CEW36" s="103"/>
      <c r="CEX36" s="103"/>
      <c r="CEY36" s="103"/>
      <c r="CEZ36" s="103"/>
      <c r="CFA36" s="103"/>
      <c r="CFB36" s="103"/>
      <c r="CFC36" s="103"/>
      <c r="CFD36" s="103"/>
      <c r="CFE36" s="103"/>
      <c r="CFF36" s="103"/>
      <c r="CFG36" s="103"/>
      <c r="CFH36" s="103"/>
      <c r="CFI36" s="103"/>
      <c r="CFJ36" s="103"/>
      <c r="CFK36" s="103"/>
      <c r="CFL36" s="103"/>
      <c r="CFM36" s="103"/>
      <c r="CFN36" s="103"/>
      <c r="CFO36" s="103"/>
      <c r="CFP36" s="103"/>
      <c r="CFQ36" s="103"/>
      <c r="CFR36" s="103"/>
      <c r="CFS36" s="103"/>
      <c r="CFT36" s="103"/>
      <c r="CFU36" s="103"/>
      <c r="CFV36" s="103"/>
      <c r="CFW36" s="103"/>
      <c r="CFX36" s="103"/>
      <c r="CFY36" s="103"/>
      <c r="CFZ36" s="103"/>
      <c r="CGA36" s="103"/>
      <c r="CGB36" s="103"/>
      <c r="CGC36" s="103"/>
      <c r="CGD36" s="103"/>
      <c r="CGE36" s="103"/>
      <c r="CGF36" s="103"/>
      <c r="CGG36" s="103"/>
      <c r="CGH36" s="103"/>
      <c r="CGI36" s="103"/>
      <c r="CGJ36" s="103"/>
      <c r="CGK36" s="103"/>
      <c r="CGL36" s="103"/>
      <c r="CGM36" s="103"/>
      <c r="CGN36" s="103"/>
      <c r="CGO36" s="103"/>
      <c r="CGP36" s="103"/>
      <c r="CGQ36" s="103"/>
      <c r="CGR36" s="103"/>
      <c r="CGS36" s="103"/>
      <c r="CGT36" s="103"/>
      <c r="CGU36" s="103"/>
      <c r="CGV36" s="103"/>
      <c r="CGW36" s="103"/>
      <c r="CGX36" s="103"/>
      <c r="CGY36" s="103"/>
      <c r="CGZ36" s="103"/>
      <c r="CHA36" s="103"/>
      <c r="CHB36" s="103"/>
      <c r="CHC36" s="103"/>
      <c r="CHD36" s="103"/>
      <c r="CHE36" s="103"/>
      <c r="CHF36" s="103"/>
      <c r="CHG36" s="103"/>
      <c r="CHH36" s="103"/>
      <c r="CHI36" s="103"/>
      <c r="CHJ36" s="103"/>
      <c r="CHK36" s="103"/>
      <c r="CHL36" s="103"/>
      <c r="CHM36" s="103"/>
      <c r="CHN36" s="103"/>
      <c r="CHO36" s="103"/>
      <c r="CHP36" s="103"/>
      <c r="CHQ36" s="103"/>
      <c r="CHR36" s="103"/>
      <c r="CHS36" s="103"/>
      <c r="CHT36" s="103"/>
      <c r="CHU36" s="103"/>
      <c r="CHV36" s="103"/>
      <c r="CHW36" s="103"/>
      <c r="CHX36" s="103"/>
      <c r="CHY36" s="103"/>
      <c r="CHZ36" s="103"/>
      <c r="CIA36" s="103"/>
      <c r="CIB36" s="103"/>
      <c r="CIC36" s="103"/>
      <c r="CID36" s="103"/>
      <c r="CIE36" s="103"/>
      <c r="CIF36" s="103"/>
      <c r="CIG36" s="103"/>
      <c r="CIH36" s="103"/>
      <c r="CII36" s="103"/>
      <c r="CIJ36" s="103"/>
      <c r="CIK36" s="103"/>
      <c r="CIL36" s="103"/>
      <c r="CIM36" s="103"/>
      <c r="CIN36" s="103"/>
      <c r="CIO36" s="103"/>
      <c r="CIP36" s="103"/>
      <c r="CIQ36" s="103"/>
      <c r="CIR36" s="103"/>
      <c r="CIS36" s="103"/>
      <c r="CIT36" s="103"/>
      <c r="CIU36" s="103"/>
      <c r="CIV36" s="103"/>
      <c r="CIW36" s="103"/>
      <c r="CIX36" s="103"/>
      <c r="CIY36" s="103"/>
      <c r="CIZ36" s="103"/>
      <c r="CJA36" s="103"/>
      <c r="CJB36" s="103"/>
      <c r="CJC36" s="103"/>
      <c r="CJD36" s="103"/>
      <c r="CJE36" s="103"/>
      <c r="CJF36" s="103"/>
      <c r="CJG36" s="103"/>
      <c r="CJH36" s="103"/>
      <c r="CJI36" s="103"/>
      <c r="CJJ36" s="103"/>
      <c r="CJK36" s="103"/>
      <c r="CJL36" s="103"/>
      <c r="CJM36" s="103"/>
      <c r="CJN36" s="103"/>
      <c r="CJO36" s="103"/>
      <c r="CJP36" s="103"/>
      <c r="CJQ36" s="103"/>
      <c r="CJR36" s="103"/>
      <c r="CJS36" s="103"/>
      <c r="CJT36" s="103"/>
      <c r="CJU36" s="103"/>
      <c r="CJV36" s="103"/>
      <c r="CJW36" s="103"/>
      <c r="CJX36" s="103"/>
      <c r="CJY36" s="103"/>
      <c r="CJZ36" s="103"/>
      <c r="CKA36" s="103"/>
      <c r="CKB36" s="103"/>
      <c r="CKC36" s="103"/>
      <c r="CKD36" s="103"/>
      <c r="CKE36" s="103"/>
      <c r="CKF36" s="103"/>
      <c r="CKG36" s="103"/>
      <c r="CKH36" s="103"/>
      <c r="CKI36" s="103"/>
      <c r="CKJ36" s="103"/>
      <c r="CKK36" s="103"/>
      <c r="CKL36" s="103"/>
      <c r="CKM36" s="103"/>
      <c r="CKN36" s="103"/>
      <c r="CKO36" s="103"/>
      <c r="CKP36" s="103"/>
      <c r="CKQ36" s="103"/>
      <c r="CKR36" s="103"/>
      <c r="CKS36" s="103"/>
      <c r="CKT36" s="103"/>
      <c r="CKU36" s="103"/>
      <c r="CKV36" s="103"/>
      <c r="CKW36" s="103"/>
      <c r="CKX36" s="103"/>
      <c r="CKY36" s="103"/>
      <c r="CKZ36" s="103"/>
      <c r="CLA36" s="103"/>
      <c r="CLB36" s="103"/>
      <c r="CLC36" s="103"/>
      <c r="CLD36" s="103"/>
      <c r="CLE36" s="103"/>
      <c r="CLF36" s="103"/>
      <c r="CLG36" s="103"/>
      <c r="CLH36" s="103"/>
      <c r="CLI36" s="103"/>
      <c r="CLJ36" s="103"/>
      <c r="CLK36" s="103"/>
      <c r="CLL36" s="103"/>
      <c r="CLM36" s="103"/>
      <c r="CLN36" s="103"/>
      <c r="CLO36" s="103"/>
      <c r="CLP36" s="103"/>
      <c r="CLQ36" s="103"/>
      <c r="CLR36" s="103"/>
      <c r="CLS36" s="103"/>
      <c r="CLT36" s="103"/>
      <c r="CLU36" s="103"/>
      <c r="CLV36" s="103"/>
      <c r="CLW36" s="103"/>
      <c r="CLX36" s="103"/>
      <c r="CLY36" s="103"/>
      <c r="CLZ36" s="103"/>
      <c r="CMA36" s="103"/>
      <c r="CMB36" s="103"/>
      <c r="CMC36" s="103"/>
      <c r="CMD36" s="103"/>
      <c r="CME36" s="103"/>
      <c r="CMF36" s="103"/>
      <c r="CMG36" s="103"/>
      <c r="CMH36" s="103"/>
      <c r="CMI36" s="103"/>
      <c r="CMJ36" s="103"/>
      <c r="CMK36" s="103"/>
      <c r="CML36" s="103"/>
      <c r="CMM36" s="103"/>
      <c r="CMN36" s="103"/>
      <c r="CMO36" s="103"/>
      <c r="CMP36" s="103"/>
      <c r="CMQ36" s="103"/>
      <c r="CMR36" s="103"/>
      <c r="CMS36" s="103"/>
      <c r="CMT36" s="103"/>
      <c r="CMU36" s="103"/>
      <c r="CMV36" s="103"/>
      <c r="CMW36" s="103"/>
      <c r="CMX36" s="103"/>
      <c r="CMY36" s="103"/>
      <c r="CMZ36" s="103"/>
      <c r="CNA36" s="103"/>
      <c r="CNB36" s="103"/>
      <c r="CNC36" s="103"/>
      <c r="CND36" s="103"/>
      <c r="CNE36" s="103"/>
      <c r="CNF36" s="103"/>
      <c r="CNG36" s="103"/>
      <c r="CNH36" s="103"/>
      <c r="CNI36" s="103"/>
      <c r="CNJ36" s="103"/>
      <c r="CNK36" s="103"/>
      <c r="CNL36" s="103"/>
      <c r="CNM36" s="103"/>
      <c r="CNN36" s="103"/>
      <c r="CNO36" s="103"/>
      <c r="CNP36" s="103"/>
      <c r="CNQ36" s="103"/>
      <c r="CNR36" s="103"/>
      <c r="CNS36" s="103"/>
      <c r="CNT36" s="103"/>
      <c r="CNU36" s="103"/>
      <c r="CNV36" s="103"/>
      <c r="CNW36" s="103"/>
      <c r="CNX36" s="103"/>
      <c r="CNY36" s="103"/>
      <c r="CNZ36" s="103"/>
      <c r="COA36" s="103"/>
      <c r="COB36" s="103"/>
      <c r="COC36" s="103"/>
      <c r="COD36" s="103"/>
      <c r="COE36" s="103"/>
      <c r="COF36" s="103"/>
      <c r="COG36" s="103"/>
      <c r="COH36" s="103"/>
      <c r="COI36" s="103"/>
      <c r="COJ36" s="103"/>
      <c r="COK36" s="103"/>
      <c r="COL36" s="103"/>
      <c r="COM36" s="103"/>
      <c r="CON36" s="103"/>
      <c r="COO36" s="103"/>
      <c r="COP36" s="103"/>
      <c r="COQ36" s="103"/>
      <c r="COR36" s="103"/>
      <c r="COS36" s="103"/>
      <c r="COT36" s="103"/>
      <c r="COU36" s="103"/>
      <c r="COV36" s="103"/>
      <c r="COW36" s="103"/>
      <c r="COX36" s="103"/>
      <c r="COY36" s="103"/>
      <c r="COZ36" s="103"/>
      <c r="CPA36" s="103"/>
      <c r="CPB36" s="103"/>
      <c r="CPC36" s="103"/>
      <c r="CPD36" s="103"/>
      <c r="CPE36" s="103"/>
      <c r="CPF36" s="103"/>
      <c r="CPG36" s="103"/>
      <c r="CPH36" s="103"/>
      <c r="CPI36" s="103"/>
      <c r="CPJ36" s="103"/>
      <c r="CPK36" s="103"/>
      <c r="CPL36" s="103"/>
      <c r="CPM36" s="103"/>
      <c r="CPN36" s="103"/>
      <c r="CPO36" s="103"/>
      <c r="CPP36" s="103"/>
      <c r="CPQ36" s="103"/>
      <c r="CPR36" s="103"/>
      <c r="CPS36" s="103"/>
      <c r="CPT36" s="103"/>
      <c r="CPU36" s="103"/>
      <c r="CPV36" s="103"/>
      <c r="CPW36" s="103"/>
      <c r="CPX36" s="103"/>
      <c r="CPY36" s="103"/>
      <c r="CPZ36" s="103"/>
      <c r="CQA36" s="103"/>
      <c r="CQB36" s="103"/>
      <c r="CQC36" s="103"/>
      <c r="CQD36" s="103"/>
      <c r="CQE36" s="103"/>
      <c r="CQF36" s="103"/>
      <c r="CQG36" s="103"/>
      <c r="CQH36" s="103"/>
      <c r="CQI36" s="103"/>
      <c r="CQJ36" s="103"/>
      <c r="CQK36" s="103"/>
      <c r="CQL36" s="103"/>
      <c r="CQM36" s="103"/>
      <c r="CQN36" s="103"/>
      <c r="CQO36" s="103"/>
      <c r="CQP36" s="103"/>
      <c r="CQQ36" s="103"/>
      <c r="CQR36" s="103"/>
      <c r="CQS36" s="103"/>
      <c r="CQT36" s="103"/>
      <c r="CQU36" s="103"/>
      <c r="CQV36" s="103"/>
      <c r="CQW36" s="103"/>
      <c r="CQX36" s="103"/>
      <c r="CQY36" s="103"/>
      <c r="CQZ36" s="103"/>
      <c r="CRA36" s="103"/>
      <c r="CRB36" s="103"/>
      <c r="CRC36" s="103"/>
      <c r="CRD36" s="103"/>
      <c r="CRE36" s="103"/>
      <c r="CRF36" s="103"/>
      <c r="CRG36" s="103"/>
      <c r="CRH36" s="103"/>
      <c r="CRI36" s="103"/>
      <c r="CRJ36" s="103"/>
      <c r="CRK36" s="103"/>
      <c r="CRL36" s="103"/>
      <c r="CRM36" s="103"/>
      <c r="CRN36" s="103"/>
      <c r="CRO36" s="103"/>
      <c r="CRP36" s="103"/>
      <c r="CRQ36" s="103"/>
      <c r="CRR36" s="103"/>
      <c r="CRS36" s="103"/>
      <c r="CRT36" s="103"/>
      <c r="CRU36" s="103"/>
      <c r="CRV36" s="103"/>
      <c r="CRW36" s="103"/>
      <c r="CRX36" s="103"/>
      <c r="CRY36" s="103"/>
      <c r="CRZ36" s="103"/>
      <c r="CSA36" s="103"/>
      <c r="CSB36" s="103"/>
      <c r="CSC36" s="103"/>
      <c r="CSD36" s="103"/>
      <c r="CSE36" s="103"/>
      <c r="CSF36" s="103"/>
      <c r="CSG36" s="103"/>
      <c r="CSH36" s="103"/>
      <c r="CSI36" s="103"/>
      <c r="CSJ36" s="103"/>
      <c r="CSK36" s="103"/>
      <c r="CSL36" s="103"/>
      <c r="CSM36" s="103"/>
      <c r="CSN36" s="103"/>
      <c r="CSO36" s="103"/>
      <c r="CSP36" s="103"/>
      <c r="CSQ36" s="103"/>
      <c r="CSR36" s="103"/>
      <c r="CSS36" s="103"/>
      <c r="CST36" s="103"/>
      <c r="CSU36" s="103"/>
      <c r="CSV36" s="103"/>
      <c r="CSW36" s="103"/>
      <c r="CSX36" s="103"/>
      <c r="CSY36" s="103"/>
      <c r="CSZ36" s="103"/>
      <c r="CTA36" s="103"/>
      <c r="CTB36" s="103"/>
      <c r="CTC36" s="103"/>
      <c r="CTD36" s="103"/>
      <c r="CTE36" s="103"/>
      <c r="CTF36" s="103"/>
      <c r="CTG36" s="103"/>
      <c r="CTH36" s="103"/>
      <c r="CTI36" s="103"/>
      <c r="CTJ36" s="103"/>
      <c r="CTK36" s="103"/>
      <c r="CTL36" s="103"/>
      <c r="CTM36" s="103"/>
      <c r="CTN36" s="103"/>
      <c r="CTO36" s="103"/>
      <c r="CTP36" s="103"/>
      <c r="CTQ36" s="103"/>
      <c r="CTR36" s="103"/>
      <c r="CTS36" s="103"/>
      <c r="CTT36" s="103"/>
      <c r="CTU36" s="103"/>
      <c r="CTV36" s="103"/>
      <c r="CTW36" s="103"/>
      <c r="CTX36" s="103"/>
      <c r="CTY36" s="103"/>
      <c r="CTZ36" s="103"/>
      <c r="CUA36" s="103"/>
      <c r="CUB36" s="103"/>
      <c r="CUC36" s="103"/>
      <c r="CUD36" s="103"/>
      <c r="CUE36" s="103"/>
      <c r="CUF36" s="103"/>
      <c r="CUG36" s="103"/>
      <c r="CUH36" s="103"/>
      <c r="CUI36" s="103"/>
      <c r="CUJ36" s="103"/>
      <c r="CUK36" s="103"/>
      <c r="CUL36" s="103"/>
      <c r="CUM36" s="103"/>
      <c r="CUN36" s="103"/>
      <c r="CUO36" s="103"/>
      <c r="CUP36" s="103"/>
      <c r="CUQ36" s="103"/>
      <c r="CUR36" s="103"/>
      <c r="CUS36" s="103"/>
      <c r="CUT36" s="103"/>
      <c r="CUU36" s="103"/>
      <c r="CUV36" s="103"/>
      <c r="CUW36" s="103"/>
      <c r="CUX36" s="103"/>
      <c r="CUY36" s="103"/>
      <c r="CUZ36" s="103"/>
      <c r="CVA36" s="103"/>
      <c r="CVB36" s="103"/>
      <c r="CVC36" s="103"/>
      <c r="CVD36" s="103"/>
      <c r="CVE36" s="103"/>
      <c r="CVF36" s="103"/>
      <c r="CVG36" s="103"/>
      <c r="CVH36" s="103"/>
      <c r="CVI36" s="103"/>
      <c r="CVJ36" s="103"/>
      <c r="CVK36" s="103"/>
      <c r="CVL36" s="103"/>
      <c r="CVM36" s="103"/>
      <c r="CVN36" s="103"/>
      <c r="CVO36" s="103"/>
      <c r="CVP36" s="103"/>
      <c r="CVQ36" s="103"/>
      <c r="CVR36" s="103"/>
      <c r="CVS36" s="103"/>
      <c r="CVT36" s="103"/>
      <c r="CVU36" s="103"/>
      <c r="CVV36" s="103"/>
      <c r="CVW36" s="103"/>
      <c r="CVX36" s="103"/>
      <c r="CVY36" s="103"/>
      <c r="CVZ36" s="103"/>
      <c r="CWA36" s="103"/>
      <c r="CWB36" s="103"/>
      <c r="CWC36" s="103"/>
      <c r="CWD36" s="103"/>
      <c r="CWE36" s="103"/>
      <c r="CWF36" s="103"/>
      <c r="CWG36" s="103"/>
      <c r="CWH36" s="103"/>
      <c r="CWI36" s="103"/>
      <c r="CWJ36" s="103"/>
      <c r="CWK36" s="103"/>
      <c r="CWL36" s="103"/>
      <c r="CWM36" s="103"/>
      <c r="CWN36" s="103"/>
      <c r="CWO36" s="103"/>
      <c r="CWP36" s="103"/>
      <c r="CWQ36" s="103"/>
      <c r="CWR36" s="103"/>
      <c r="CWS36" s="103"/>
      <c r="CWT36" s="103"/>
      <c r="CWU36" s="103"/>
      <c r="CWV36" s="103"/>
      <c r="CWW36" s="103"/>
      <c r="CWX36" s="103"/>
      <c r="CWY36" s="103"/>
      <c r="CWZ36" s="103"/>
      <c r="CXA36" s="103"/>
      <c r="CXB36" s="103"/>
      <c r="CXC36" s="103"/>
      <c r="CXD36" s="103"/>
      <c r="CXE36" s="103"/>
      <c r="CXF36" s="103"/>
      <c r="CXG36" s="103"/>
      <c r="CXH36" s="103"/>
      <c r="CXI36" s="103"/>
      <c r="CXJ36" s="103"/>
      <c r="CXK36" s="103"/>
      <c r="CXL36" s="103"/>
      <c r="CXM36" s="103"/>
      <c r="CXN36" s="103"/>
      <c r="CXO36" s="103"/>
      <c r="CXP36" s="103"/>
      <c r="CXQ36" s="103"/>
      <c r="CXR36" s="103"/>
      <c r="CXS36" s="103"/>
      <c r="CXT36" s="103"/>
      <c r="CXU36" s="103"/>
      <c r="CXV36" s="103"/>
      <c r="CXW36" s="103"/>
      <c r="CXX36" s="103"/>
      <c r="CXY36" s="103"/>
      <c r="CXZ36" s="103"/>
      <c r="CYA36" s="103"/>
      <c r="CYB36" s="103"/>
      <c r="CYC36" s="103"/>
      <c r="CYD36" s="103"/>
      <c r="CYE36" s="103"/>
      <c r="CYF36" s="103"/>
      <c r="CYG36" s="103"/>
      <c r="CYH36" s="103"/>
      <c r="CYI36" s="103"/>
      <c r="CYJ36" s="103"/>
      <c r="CYK36" s="103"/>
      <c r="CYL36" s="103"/>
      <c r="CYM36" s="103"/>
      <c r="CYN36" s="103"/>
      <c r="CYO36" s="103"/>
      <c r="CYP36" s="103"/>
      <c r="CYQ36" s="103"/>
      <c r="CYR36" s="103"/>
      <c r="CYS36" s="103"/>
      <c r="CYT36" s="103"/>
      <c r="CYU36" s="103"/>
      <c r="CYV36" s="103"/>
      <c r="CYW36" s="103"/>
      <c r="CYX36" s="103"/>
      <c r="CYY36" s="103"/>
      <c r="CYZ36" s="103"/>
      <c r="CZA36" s="103"/>
      <c r="CZB36" s="103"/>
      <c r="CZC36" s="103"/>
      <c r="CZD36" s="103"/>
      <c r="CZE36" s="103"/>
      <c r="CZF36" s="103"/>
      <c r="CZG36" s="103"/>
      <c r="CZH36" s="103"/>
      <c r="CZI36" s="103"/>
      <c r="CZJ36" s="103"/>
      <c r="CZK36" s="103"/>
      <c r="CZL36" s="103"/>
      <c r="CZM36" s="103"/>
      <c r="CZN36" s="103"/>
      <c r="CZO36" s="103"/>
      <c r="CZP36" s="103"/>
      <c r="CZQ36" s="103"/>
      <c r="CZR36" s="103"/>
      <c r="CZS36" s="103"/>
      <c r="CZT36" s="103"/>
      <c r="CZU36" s="103"/>
      <c r="CZV36" s="103"/>
      <c r="CZW36" s="103"/>
      <c r="CZX36" s="103"/>
      <c r="CZY36" s="103"/>
      <c r="CZZ36" s="103"/>
      <c r="DAA36" s="103"/>
      <c r="DAB36" s="103"/>
      <c r="DAC36" s="103"/>
      <c r="DAD36" s="103"/>
      <c r="DAE36" s="103"/>
      <c r="DAF36" s="103"/>
      <c r="DAG36" s="103"/>
      <c r="DAH36" s="103"/>
      <c r="DAI36" s="103"/>
      <c r="DAJ36" s="103"/>
      <c r="DAK36" s="103"/>
      <c r="DAL36" s="103"/>
      <c r="DAM36" s="103"/>
      <c r="DAN36" s="103"/>
      <c r="DAO36" s="103"/>
      <c r="DAP36" s="103"/>
      <c r="DAQ36" s="103"/>
      <c r="DAR36" s="103"/>
      <c r="DAS36" s="103"/>
      <c r="DAT36" s="103"/>
      <c r="DAU36" s="103"/>
      <c r="DAV36" s="103"/>
      <c r="DAW36" s="103"/>
      <c r="DAX36" s="103"/>
      <c r="DAY36" s="103"/>
      <c r="DAZ36" s="103"/>
      <c r="DBA36" s="103"/>
      <c r="DBB36" s="103"/>
      <c r="DBC36" s="103"/>
      <c r="DBD36" s="103"/>
      <c r="DBE36" s="103"/>
      <c r="DBF36" s="103"/>
      <c r="DBG36" s="103"/>
      <c r="DBH36" s="103"/>
      <c r="DBI36" s="103"/>
      <c r="DBJ36" s="103"/>
      <c r="DBK36" s="103"/>
      <c r="DBL36" s="103"/>
      <c r="DBM36" s="103"/>
      <c r="DBN36" s="103"/>
      <c r="DBO36" s="103"/>
      <c r="DBP36" s="103"/>
      <c r="DBQ36" s="103"/>
      <c r="DBR36" s="103"/>
      <c r="DBS36" s="103"/>
      <c r="DBT36" s="103"/>
      <c r="DBU36" s="103"/>
      <c r="DBV36" s="103"/>
      <c r="DBW36" s="103"/>
      <c r="DBX36" s="103"/>
      <c r="DBY36" s="103"/>
      <c r="DBZ36" s="103"/>
      <c r="DCA36" s="103"/>
      <c r="DCB36" s="103"/>
      <c r="DCC36" s="103"/>
      <c r="DCD36" s="103"/>
      <c r="DCE36" s="103"/>
      <c r="DCF36" s="103"/>
      <c r="DCG36" s="103"/>
      <c r="DCH36" s="103"/>
      <c r="DCI36" s="103"/>
      <c r="DCJ36" s="103"/>
      <c r="DCK36" s="103"/>
      <c r="DCL36" s="103"/>
      <c r="DCM36" s="103"/>
      <c r="DCN36" s="103"/>
      <c r="DCO36" s="103"/>
      <c r="DCP36" s="103"/>
      <c r="DCQ36" s="103"/>
      <c r="DCR36" s="103"/>
      <c r="DCS36" s="103"/>
      <c r="DCT36" s="103"/>
      <c r="DCU36" s="103"/>
      <c r="DCV36" s="103"/>
      <c r="DCW36" s="103"/>
      <c r="DCX36" s="103"/>
      <c r="DCY36" s="103"/>
      <c r="DCZ36" s="103"/>
      <c r="DDA36" s="103"/>
      <c r="DDB36" s="103"/>
      <c r="DDC36" s="103"/>
      <c r="DDD36" s="103"/>
      <c r="DDE36" s="103"/>
      <c r="DDF36" s="103"/>
      <c r="DDG36" s="103"/>
      <c r="DDH36" s="103"/>
      <c r="DDI36" s="103"/>
      <c r="DDJ36" s="103"/>
      <c r="DDK36" s="103"/>
      <c r="DDL36" s="103"/>
      <c r="DDM36" s="103"/>
      <c r="DDN36" s="103"/>
      <c r="DDO36" s="103"/>
      <c r="DDP36" s="103"/>
      <c r="DDQ36" s="103"/>
      <c r="DDR36" s="103"/>
      <c r="DDS36" s="103"/>
      <c r="DDT36" s="103"/>
      <c r="DDU36" s="103"/>
      <c r="DDV36" s="103"/>
      <c r="DDW36" s="103"/>
      <c r="DDX36" s="103"/>
      <c r="DDY36" s="103"/>
      <c r="DDZ36" s="103"/>
      <c r="DEA36" s="103"/>
      <c r="DEB36" s="103"/>
      <c r="DEC36" s="103"/>
      <c r="DED36" s="103"/>
      <c r="DEE36" s="103"/>
      <c r="DEF36" s="103"/>
      <c r="DEG36" s="103"/>
      <c r="DEH36" s="103"/>
      <c r="DEI36" s="103"/>
      <c r="DEJ36" s="103"/>
      <c r="DEK36" s="103"/>
      <c r="DEL36" s="103"/>
      <c r="DEM36" s="103"/>
      <c r="DEN36" s="103"/>
      <c r="DEO36" s="103"/>
      <c r="DEP36" s="103"/>
      <c r="DEQ36" s="103"/>
      <c r="DER36" s="103"/>
      <c r="DES36" s="103"/>
      <c r="DET36" s="103"/>
      <c r="DEU36" s="103"/>
      <c r="DEV36" s="103"/>
      <c r="DEW36" s="103"/>
      <c r="DEX36" s="103"/>
      <c r="DEY36" s="103"/>
      <c r="DEZ36" s="103"/>
      <c r="DFA36" s="103"/>
      <c r="DFB36" s="103"/>
      <c r="DFC36" s="103"/>
      <c r="DFD36" s="103"/>
      <c r="DFE36" s="103"/>
      <c r="DFF36" s="103"/>
      <c r="DFG36" s="103"/>
      <c r="DFH36" s="103"/>
      <c r="DFI36" s="103"/>
      <c r="DFJ36" s="103"/>
      <c r="DFK36" s="103"/>
      <c r="DFL36" s="103"/>
      <c r="DFM36" s="103"/>
      <c r="DFN36" s="103"/>
      <c r="DFO36" s="103"/>
      <c r="DFP36" s="103"/>
      <c r="DFQ36" s="103"/>
      <c r="DFR36" s="103"/>
      <c r="DFS36" s="103"/>
      <c r="DFT36" s="103"/>
      <c r="DFU36" s="103"/>
      <c r="DFV36" s="103"/>
      <c r="DFW36" s="103"/>
      <c r="DFX36" s="103"/>
      <c r="DFY36" s="103"/>
      <c r="DFZ36" s="103"/>
      <c r="DGA36" s="103"/>
      <c r="DGB36" s="103"/>
      <c r="DGC36" s="103"/>
      <c r="DGD36" s="103"/>
      <c r="DGE36" s="103"/>
      <c r="DGF36" s="103"/>
      <c r="DGG36" s="103"/>
      <c r="DGH36" s="103"/>
      <c r="DGI36" s="103"/>
      <c r="DGJ36" s="103"/>
      <c r="DGK36" s="103"/>
      <c r="DGL36" s="103"/>
      <c r="DGM36" s="103"/>
      <c r="DGN36" s="103"/>
      <c r="DGO36" s="103"/>
      <c r="DGP36" s="103"/>
      <c r="DGQ36" s="103"/>
      <c r="DGR36" s="103"/>
      <c r="DGS36" s="103"/>
      <c r="DGT36" s="103"/>
      <c r="DGU36" s="103"/>
      <c r="DGV36" s="103"/>
      <c r="DGW36" s="103"/>
      <c r="DGX36" s="103"/>
      <c r="DGY36" s="103"/>
      <c r="DGZ36" s="103"/>
      <c r="DHA36" s="103"/>
      <c r="DHB36" s="103"/>
      <c r="DHC36" s="103"/>
      <c r="DHD36" s="103"/>
      <c r="DHE36" s="103"/>
      <c r="DHF36" s="103"/>
      <c r="DHG36" s="103"/>
      <c r="DHH36" s="103"/>
      <c r="DHI36" s="103"/>
      <c r="DHJ36" s="103"/>
      <c r="DHK36" s="103"/>
      <c r="DHL36" s="103"/>
      <c r="DHM36" s="103"/>
      <c r="DHN36" s="103"/>
      <c r="DHO36" s="103"/>
      <c r="DHP36" s="103"/>
      <c r="DHQ36" s="103"/>
      <c r="DHR36" s="103"/>
      <c r="DHS36" s="103"/>
      <c r="DHT36" s="103"/>
      <c r="DHU36" s="103"/>
      <c r="DHV36" s="103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108">
        <f>C36-AK36</f>
        <v>-70</v>
      </c>
      <c r="R39" s="108"/>
      <c r="S39" s="10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  <row r="98" spans="3:34" x14ac:dyDescent="0.4">
      <c r="C98" s="47"/>
      <c r="D98" s="88"/>
      <c r="E98" s="88"/>
      <c r="F98" s="89"/>
      <c r="G98" s="89"/>
      <c r="H98" s="89"/>
      <c r="I98" s="89"/>
      <c r="J98" s="89"/>
      <c r="K98" s="88"/>
      <c r="L98" s="88"/>
      <c r="M98" s="89"/>
      <c r="N98" s="90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</row>
  </sheetData>
  <mergeCells count="24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22:C22"/>
    <mergeCell ref="B17:C21"/>
  </mergeCells>
  <pageMargins left="0.25" right="0.25" top="0.75" bottom="0.75" header="0.3" footer="0.3"/>
  <pageSetup orientation="landscape" r:id="rId1"/>
  <ignoredErrors>
    <ignoredError sqref="AI6:AI35 D36:AA36 AB36:AH36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50" t="s">
        <v>31</v>
      </c>
      <c r="D1" s="150" t="s">
        <v>32</v>
      </c>
      <c r="E1" s="150" t="s">
        <v>42</v>
      </c>
    </row>
    <row r="2" spans="3:13" s="10" customFormat="1" ht="7.5" customHeight="1" x14ac:dyDescent="0.3">
      <c r="C2" s="151"/>
      <c r="D2" s="151"/>
      <c r="E2" s="151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52" t="s">
        <v>31</v>
      </c>
      <c r="D35" s="152" t="s">
        <v>32</v>
      </c>
      <c r="E35" s="154" t="s">
        <v>35</v>
      </c>
    </row>
    <row r="36" spans="3:5" ht="21" customHeight="1" x14ac:dyDescent="0.3">
      <c r="C36" s="153"/>
      <c r="D36" s="153"/>
      <c r="E36" s="155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6" t="s">
        <v>95</v>
      </c>
      <c r="B61" s="156"/>
      <c r="C61" s="156"/>
      <c r="D61" s="156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21" t="s">
        <v>39</v>
      </c>
      <c r="B1" s="121"/>
      <c r="C1" s="121"/>
      <c r="D1" s="121"/>
      <c r="E1" s="121"/>
      <c r="F1" s="121"/>
      <c r="G1" s="121"/>
      <c r="H1" s="121"/>
    </row>
    <row r="2" spans="1:2901" ht="18.600000000000001" hidden="1" thickBot="1" x14ac:dyDescent="0.4">
      <c r="A2" s="122" t="s">
        <v>40</v>
      </c>
      <c r="B2" s="122"/>
      <c r="C2" s="122"/>
      <c r="D2" s="122"/>
      <c r="E2" s="122"/>
      <c r="F2" s="122"/>
      <c r="G2" s="122"/>
      <c r="H2" s="122"/>
    </row>
    <row r="3" spans="1:2901" ht="32.25" hidden="1" customHeight="1" thickBot="1" x14ac:dyDescent="0.6">
      <c r="A3" s="123" t="s">
        <v>41</v>
      </c>
      <c r="B3" s="124"/>
      <c r="C3" s="163"/>
      <c r="D3" s="142"/>
      <c r="E3" s="70"/>
      <c r="F3" s="50"/>
      <c r="G3" s="28"/>
      <c r="H3" s="2"/>
    </row>
    <row r="4" spans="1:2901" s="21" customFormat="1" ht="19.5" customHeight="1" x14ac:dyDescent="0.3">
      <c r="A4" s="162" t="s">
        <v>37</v>
      </c>
      <c r="B4" s="161" t="s">
        <v>0</v>
      </c>
      <c r="C4" s="160" t="s">
        <v>38</v>
      </c>
      <c r="D4" s="160" t="s">
        <v>29</v>
      </c>
      <c r="E4" s="132" t="s">
        <v>30</v>
      </c>
      <c r="F4" s="164" t="s">
        <v>56</v>
      </c>
      <c r="G4" s="137" t="s">
        <v>57</v>
      </c>
      <c r="H4" s="128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45"/>
      <c r="B5" s="147"/>
      <c r="C5" s="147"/>
      <c r="D5" s="147"/>
      <c r="E5" s="131"/>
      <c r="F5" s="165"/>
      <c r="G5" s="138"/>
      <c r="H5" s="129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7"/>
      <c r="B62" s="158"/>
      <c r="C62" s="158"/>
      <c r="D62" s="159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6" t="s">
        <v>116</v>
      </c>
      <c r="C1" s="166"/>
      <c r="D1" s="166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2021-10-02T13:18:41Z</dcterms:modified>
</cp:coreProperties>
</file>