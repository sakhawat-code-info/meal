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66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AK6" i="1" l="1"/>
  <c r="C36" i="1" l="1"/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6" i="1"/>
  <c r="Q39" i="1" s="1"/>
  <c r="AL6" i="1" l="1"/>
  <c r="AM10" i="1" s="1"/>
  <c r="AN10" i="1" s="1"/>
  <c r="AM20" i="1" l="1"/>
  <c r="AN20" i="1" s="1"/>
  <c r="AM7" i="1"/>
  <c r="AN7" i="1" s="1"/>
  <c r="AM9" i="1"/>
  <c r="AN9" i="1" s="1"/>
  <c r="AM14" i="1"/>
  <c r="AN14" i="1" s="1"/>
  <c r="AM28" i="1"/>
  <c r="AN28" i="1" s="1"/>
  <c r="AM30" i="1"/>
  <c r="AN30" i="1" s="1"/>
  <c r="AM8" i="1"/>
  <c r="AN8" i="1" s="1"/>
  <c r="AM34" i="1"/>
  <c r="AN34" i="1" s="1"/>
  <c r="AM16" i="1"/>
  <c r="AN16" i="1" s="1"/>
  <c r="AM12" i="1"/>
  <c r="AN12" i="1" s="1"/>
  <c r="AM24" i="1"/>
  <c r="AN24" i="1" s="1"/>
  <c r="AM33" i="1"/>
  <c r="AN33" i="1" s="1"/>
  <c r="AM15" i="1"/>
  <c r="AN15" i="1" s="1"/>
  <c r="AM25" i="1"/>
  <c r="AN25" i="1" s="1"/>
  <c r="AM29" i="1"/>
  <c r="AN29" i="1" s="1"/>
  <c r="AM11" i="1"/>
  <c r="AN11" i="1" s="1"/>
  <c r="AM32" i="1"/>
  <c r="AN32" i="1" s="1"/>
  <c r="AM17" i="1"/>
  <c r="AN17" i="1" s="1"/>
  <c r="AM21" i="1"/>
  <c r="AN21" i="1" s="1"/>
  <c r="AM26" i="1"/>
  <c r="AN26" i="1" s="1"/>
  <c r="AM31" i="1"/>
  <c r="AN31" i="1" s="1"/>
  <c r="AM35" i="1"/>
  <c r="AN35" i="1" s="1"/>
  <c r="AM6" i="1"/>
  <c r="AN6" i="1" s="1"/>
  <c r="AM13" i="1"/>
  <c r="AN13" i="1" s="1"/>
  <c r="AM18" i="1"/>
  <c r="AN18" i="1" s="1"/>
  <c r="AM22" i="1"/>
  <c r="AN22" i="1" s="1"/>
  <c r="AM19" i="1"/>
  <c r="AN19" i="1" s="1"/>
  <c r="AM23" i="1"/>
  <c r="AN23" i="1" s="1"/>
  <c r="AM27" i="1"/>
  <c r="AN27" i="1" s="1"/>
  <c r="AN36" i="1" l="1"/>
  <c r="AM36" i="1"/>
</calcChain>
</file>

<file path=xl/sharedStrings.xml><?xml version="1.0" encoding="utf-8"?>
<sst xmlns="http://schemas.openxmlformats.org/spreadsheetml/2006/main" count="281" uniqueCount="126">
  <si>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</si>
  <si>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</si>
  <si>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</si>
  <si>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</si>
  <si>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</si>
  <si>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</si>
  <si>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</si>
  <si>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</si>
  <si>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</si>
  <si>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</si>
  <si>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</si>
  <si>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</si>
  <si>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</si>
  <si>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</si>
  <si>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</si>
  <si>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</si>
  <si>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</si>
  <si>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</si>
  <si>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</si>
  <si>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</si>
  <si>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</si>
  <si>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</si>
  <si>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</si>
  <si>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</si>
  <si>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</si>
  <si>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</si>
  <si>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</si>
  <si>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</si>
  <si>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</si>
  <si>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</si>
  <si>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</si>
  <si>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</si>
  <si>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</si>
  <si>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</si>
  <si>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</si>
  <si>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</si>
  <si>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</si>
  <si>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</si>
  <si>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</si>
  <si>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</si>
  <si>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</si>
  <si>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</si>
  <si>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</si>
  <si>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</si>
  <si>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</si>
  <si>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</si>
  <si>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</si>
  <si>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</si>
  <si>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</si>
  <si>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</si>
  <si>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</si>
  <si>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</si>
  <si>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</si>
  <si>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</si>
  <si>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</si>
  <si>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</si>
  <si>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</si>
  <si>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</si>
  <si>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</si>
  <si>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</si>
  <si>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</si>
  <si>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</si>
  <si>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</si>
  <si>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</si>
  <si>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</si>
  <si>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</si>
  <si>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</si>
  <si>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</si>
  <si>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</si>
  <si>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</si>
  <si>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</si>
  <si>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</si>
  <si>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</si>
  <si>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</si>
  <si>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</si>
  <si>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</si>
  <si>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</si>
  <si>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</si>
  <si>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</si>
  <si>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</si>
  <si>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</si>
  <si>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</si>
  <si>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</si>
  <si>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</si>
  <si>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</si>
  <si>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</si>
  <si>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</si>
  <si>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</si>
  <si>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</si>
  <si>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</si>
  <si>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</si>
  <si>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</si>
  <si>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</si>
  <si>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</si>
  <si>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</si>
  <si>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</si>
  <si>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</si>
  <si>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</si>
  <si>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</si>
  <si>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</si>
  <si>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</si>
  <si>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</si>
  <si>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</si>
  <si>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</si>
  <si>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</si>
  <si>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</si>
  <si>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</si>
  <si>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</si>
  <si>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</si>
  <si>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</si>
  <si>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</si>
  <si>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</si>
  <si>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</si>
  <si>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</si>
  <si>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</si>
  <si>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</si>
  <si>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</si>
  <si>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</si>
  <si>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</si>
  <si>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Jiku Das</t>
  </si>
  <si>
    <t>Sujon Ali</t>
  </si>
  <si>
    <t>Meal Rate</t>
  </si>
  <si>
    <t>Per Person Cast</t>
  </si>
  <si>
    <t>Due</t>
  </si>
  <si>
    <t>Sagirul Islam</t>
  </si>
  <si>
    <t xml:space="preserve">Note: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</si>
</sst>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6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3" fontId="20" fillId="0" borderId="0" xfId="0" applyNumberFormat="1" applyFont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7" fillId="2" borderId="14" xfId="0" applyFont="1" applyFill="1" applyBorder="1" applyAlignment="1">
      <alignment horizontal="center" vertical="top" wrapText="1"/>
    </xf>
    <xf numFmtId="0" fontId="27" fillId="2" borderId="15" xfId="0" applyFont="1" applyFill="1" applyBorder="1" applyAlignment="1">
      <alignment horizontal="center" vertical="top" wrapText="1"/>
    </xf>
    <xf numFmtId="0" fontId="27" fillId="2" borderId="14" xfId="0" applyFont="1" applyFill="1" applyBorder="1" applyAlignment="1">
      <alignment horizontal="left" vertical="center" wrapText="1"/>
    </xf>
    <xf numFmtId="0" fontId="27" fillId="2" borderId="15" xfId="0" applyFont="1" applyFill="1" applyBorder="1" applyAlignment="1">
      <alignment horizontal="left" vertical="center" wrapText="1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  <xf numFmtId="0" fontId="21" fillId="4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8"/>
  <sheetViews>
    <sheetView tabSelected="1" zoomScale="85" zoomScaleNormal="85" zoomScaleSheetLayoutView="85" workbookViewId="0">
      <pane ySplit="5" topLeftCell="A6" activePane="bottomLeft" state="frozen"/>
      <selection pane="bottomLeft" activeCell="Q39" sqref="Q39:S39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5" width="6" style="48" customWidth="1"/>
    <col min="6" max="6" width="6" style="96" customWidth="1"/>
    <col min="7" max="10" width="6" style="97" customWidth="1"/>
    <col min="11" max="12" width="6" style="48" customWidth="1"/>
    <col min="13" max="13" width="6" style="97" customWidth="1"/>
    <col min="14" max="14" width="6" style="98" customWidth="1"/>
    <col min="15" max="33" width="6" style="48" customWidth="1"/>
    <col min="34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7.44140625" style="104" bestFit="1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06" t="s">
        <v>39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</row>
    <row r="2" spans="1:2934" ht="18" hidden="1" x14ac:dyDescent="0.35">
      <c r="A2" s="107" t="s">
        <v>40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</row>
    <row r="3" spans="1:2934" ht="31.8" hidden="1" thickBot="1" x14ac:dyDescent="0.6">
      <c r="A3" s="108" t="s">
        <v>41</v>
      </c>
      <c r="B3" s="109"/>
      <c r="C3" s="127"/>
      <c r="D3" s="127"/>
      <c r="E3" s="127"/>
      <c r="F3" s="127"/>
      <c r="G3" s="127"/>
      <c r="H3" s="127"/>
      <c r="I3" s="127"/>
      <c r="J3" s="127"/>
      <c r="K3" s="127"/>
      <c r="L3" s="128"/>
      <c r="M3" s="126" t="s">
        <v>53</v>
      </c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  <c r="AH3" s="126"/>
      <c r="AI3" s="126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29" t="s">
        <v>37</v>
      </c>
      <c r="B4" s="131" t="s">
        <v>0</v>
      </c>
      <c r="C4" s="118" t="s">
        <v>34</v>
      </c>
      <c r="D4" s="110" t="s">
        <v>36</v>
      </c>
      <c r="E4" s="111"/>
      <c r="F4" s="111"/>
      <c r="G4" s="111"/>
      <c r="H4" s="111"/>
      <c r="I4" s="111"/>
      <c r="J4" s="111"/>
      <c r="K4" s="111"/>
      <c r="L4" s="111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5" t="s">
        <v>30</v>
      </c>
      <c r="AJ4" s="117" t="s">
        <v>31</v>
      </c>
      <c r="AK4" s="118" t="s">
        <v>32</v>
      </c>
      <c r="AL4" s="120" t="s">
        <v>121</v>
      </c>
      <c r="AM4" s="122" t="s">
        <v>122</v>
      </c>
      <c r="AN4" s="124" t="s">
        <v>123</v>
      </c>
      <c r="AO4" s="113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30"/>
      <c r="B5" s="132"/>
      <c r="C5" s="119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16"/>
      <c r="AJ5" s="116"/>
      <c r="AK5" s="119"/>
      <c r="AL5" s="121"/>
      <c r="AM5" s="123"/>
      <c r="AN5" s="125"/>
      <c r="AO5" s="114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>
        <v>2000</v>
      </c>
      <c r="D6" s="91">
        <v>1</v>
      </c>
      <c r="E6" s="91">
        <v>0.5</v>
      </c>
      <c r="F6" s="91">
        <v>0</v>
      </c>
      <c r="G6" s="91">
        <v>1.5</v>
      </c>
      <c r="H6" s="91">
        <v>1.5</v>
      </c>
      <c r="I6" s="91">
        <v>1</v>
      </c>
      <c r="J6" s="91">
        <v>1</v>
      </c>
      <c r="K6" s="91">
        <v>0</v>
      </c>
      <c r="L6" s="91">
        <v>1.5</v>
      </c>
      <c r="M6" s="91">
        <v>0</v>
      </c>
      <c r="N6" s="91">
        <v>1.5</v>
      </c>
      <c r="O6" s="91">
        <v>1.5</v>
      </c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41">
        <f t="shared" ref="AI6:AI12" si="0">SUM(D6:AH6)</f>
        <v>11</v>
      </c>
      <c r="AJ6" s="31">
        <v>44440</v>
      </c>
      <c r="AK6" s="19">
        <f>1550+490+800+200+645+160+260</f>
        <v>4105</v>
      </c>
      <c r="AL6" s="100">
        <f>AK36/AI36</f>
        <v>86.603773584905667</v>
      </c>
      <c r="AM6" s="22">
        <f>AI6*AL6</f>
        <v>952.64150943396237</v>
      </c>
      <c r="AN6" s="52">
        <f t="shared" ref="AN6:AN35" si="1">C6-AM6</f>
        <v>1047.3584905660377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2000</v>
      </c>
      <c r="D7" s="91">
        <v>1</v>
      </c>
      <c r="E7" s="91">
        <v>1.5</v>
      </c>
      <c r="F7" s="91">
        <v>2.5</v>
      </c>
      <c r="G7" s="91">
        <v>1.5</v>
      </c>
      <c r="H7" s="91">
        <v>1.5</v>
      </c>
      <c r="I7" s="91">
        <v>1.5</v>
      </c>
      <c r="J7" s="91">
        <v>1</v>
      </c>
      <c r="K7" s="91">
        <v>0</v>
      </c>
      <c r="L7" s="91">
        <v>1.5</v>
      </c>
      <c r="M7" s="91">
        <v>2.5</v>
      </c>
      <c r="N7" s="91">
        <v>1.5</v>
      </c>
      <c r="O7" s="91">
        <v>1.5</v>
      </c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41">
        <f t="shared" si="0"/>
        <v>17.5</v>
      </c>
      <c r="AJ7" s="31">
        <v>44441</v>
      </c>
      <c r="AK7" s="19"/>
      <c r="AL7" s="101"/>
      <c r="AM7" s="22">
        <f>AI7*AL6</f>
        <v>1515.5660377358492</v>
      </c>
      <c r="AN7" s="87">
        <f t="shared" si="1"/>
        <v>484.43396226415075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v>2000</v>
      </c>
      <c r="D8" s="91">
        <v>1</v>
      </c>
      <c r="E8" s="91">
        <v>1.5</v>
      </c>
      <c r="F8" s="91">
        <v>1</v>
      </c>
      <c r="G8" s="91">
        <v>1.5</v>
      </c>
      <c r="H8" s="91">
        <v>1.5</v>
      </c>
      <c r="I8" s="91">
        <v>1.5</v>
      </c>
      <c r="J8" s="91">
        <v>1</v>
      </c>
      <c r="K8" s="91">
        <v>0</v>
      </c>
      <c r="L8" s="91">
        <v>1.5</v>
      </c>
      <c r="M8" s="91">
        <v>3.5</v>
      </c>
      <c r="N8" s="91">
        <v>1.5</v>
      </c>
      <c r="O8" s="91">
        <v>1.5</v>
      </c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41">
        <f t="shared" si="0"/>
        <v>17</v>
      </c>
      <c r="AJ8" s="31">
        <v>44442</v>
      </c>
      <c r="AK8" s="19">
        <v>2150</v>
      </c>
      <c r="AL8" s="101"/>
      <c r="AM8" s="22">
        <f>AI8*AL6</f>
        <v>1472.2641509433963</v>
      </c>
      <c r="AN8" s="87">
        <f t="shared" si="1"/>
        <v>527.73584905660368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4</v>
      </c>
      <c r="B9" s="155" t="s">
        <v>124</v>
      </c>
      <c r="C9" s="41">
        <v>1500</v>
      </c>
      <c r="D9" s="91">
        <v>1</v>
      </c>
      <c r="E9" s="91">
        <v>0</v>
      </c>
      <c r="F9" s="91">
        <v>0</v>
      </c>
      <c r="G9" s="91">
        <v>1</v>
      </c>
      <c r="H9" s="91">
        <v>1</v>
      </c>
      <c r="I9" s="91">
        <v>1</v>
      </c>
      <c r="J9" s="91">
        <v>1</v>
      </c>
      <c r="K9" s="91">
        <v>0</v>
      </c>
      <c r="L9" s="91">
        <v>1</v>
      </c>
      <c r="M9" s="91">
        <v>0</v>
      </c>
      <c r="N9" s="91">
        <v>1</v>
      </c>
      <c r="O9" s="91">
        <v>1</v>
      </c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41">
        <f t="shared" si="0"/>
        <v>8</v>
      </c>
      <c r="AJ9" s="31">
        <v>44443</v>
      </c>
      <c r="AK9" s="19">
        <v>60</v>
      </c>
      <c r="AL9" s="101"/>
      <c r="AM9" s="22">
        <f>AI9*AL6</f>
        <v>692.83018867924534</v>
      </c>
      <c r="AN9" s="87">
        <f t="shared" si="1"/>
        <v>807.16981132075466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2" customFormat="1" ht="24" customHeight="1" x14ac:dyDescent="0.35">
      <c r="A10" s="40">
        <v>5</v>
      </c>
      <c r="B10" s="155" t="s">
        <v>119</v>
      </c>
      <c r="C10" s="41">
        <v>2000</v>
      </c>
      <c r="D10" s="91">
        <v>1</v>
      </c>
      <c r="E10" s="91">
        <v>1</v>
      </c>
      <c r="F10" s="91">
        <v>2</v>
      </c>
      <c r="G10" s="91">
        <v>1</v>
      </c>
      <c r="H10" s="91">
        <v>1</v>
      </c>
      <c r="I10" s="91">
        <v>1</v>
      </c>
      <c r="J10" s="91">
        <v>0.5</v>
      </c>
      <c r="K10" s="91">
        <v>0</v>
      </c>
      <c r="L10" s="91">
        <v>1</v>
      </c>
      <c r="M10" s="91">
        <v>2</v>
      </c>
      <c r="N10" s="91">
        <v>1</v>
      </c>
      <c r="O10" s="91">
        <v>1</v>
      </c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41">
        <f t="shared" si="0"/>
        <v>12.5</v>
      </c>
      <c r="AJ10" s="31">
        <v>44444</v>
      </c>
      <c r="AK10" s="19"/>
      <c r="AL10" s="101"/>
      <c r="AM10" s="22">
        <f>AI10*AL6</f>
        <v>1082.5471698113208</v>
      </c>
      <c r="AN10" s="87">
        <f t="shared" si="1"/>
        <v>917.45283018867917</v>
      </c>
      <c r="AO10" s="30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  <c r="DGP10" s="33"/>
      <c r="DGQ10" s="33"/>
      <c r="DGR10" s="33"/>
      <c r="DGS10" s="33"/>
      <c r="DGT10" s="33"/>
      <c r="DGU10" s="33"/>
      <c r="DGV10" s="33"/>
      <c r="DGW10" s="33"/>
      <c r="DGX10" s="33"/>
      <c r="DGY10" s="33"/>
      <c r="DGZ10" s="33"/>
      <c r="DHA10" s="33"/>
      <c r="DHB10" s="33"/>
      <c r="DHC10" s="33"/>
      <c r="DHD10" s="33"/>
      <c r="DHE10" s="33"/>
      <c r="DHF10" s="33"/>
      <c r="DHG10" s="33"/>
      <c r="DHH10" s="33"/>
      <c r="DHI10" s="33"/>
      <c r="DHJ10" s="33"/>
      <c r="DHK10" s="33"/>
      <c r="DHL10" s="33"/>
      <c r="DHM10" s="33"/>
      <c r="DHN10" s="33"/>
      <c r="DHO10" s="33"/>
      <c r="DHP10" s="33"/>
      <c r="DHQ10" s="33"/>
      <c r="DHR10" s="33"/>
      <c r="DHS10" s="33"/>
      <c r="DHT10" s="33"/>
      <c r="DHU10" s="33"/>
      <c r="DHV10" s="33"/>
    </row>
    <row r="11" spans="1:2934" s="39" customFormat="1" ht="25.5" customHeight="1" x14ac:dyDescent="0.35">
      <c r="A11" s="40">
        <v>6</v>
      </c>
      <c r="B11" s="89" t="s">
        <v>120</v>
      </c>
      <c r="C11" s="41"/>
      <c r="D11" s="91">
        <v>1</v>
      </c>
      <c r="E11" s="91">
        <v>1.5</v>
      </c>
      <c r="F11" s="91">
        <v>2.5</v>
      </c>
      <c r="G11" s="91">
        <v>1.5</v>
      </c>
      <c r="H11" s="91">
        <v>1.5</v>
      </c>
      <c r="I11" s="91">
        <v>1.5</v>
      </c>
      <c r="J11" s="91">
        <v>1</v>
      </c>
      <c r="K11" s="91">
        <v>0</v>
      </c>
      <c r="L11" s="91">
        <v>0</v>
      </c>
      <c r="M11" s="91">
        <v>0</v>
      </c>
      <c r="N11" s="91">
        <v>1.5</v>
      </c>
      <c r="O11" s="91">
        <v>1.5</v>
      </c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41">
        <f t="shared" si="0"/>
        <v>13.5</v>
      </c>
      <c r="AJ11" s="31">
        <v>44445</v>
      </c>
      <c r="AK11" s="19">
        <v>20</v>
      </c>
      <c r="AL11" s="101"/>
      <c r="AM11" s="22">
        <f>AI11*AL6</f>
        <v>1169.1509433962265</v>
      </c>
      <c r="AN11" s="52">
        <f t="shared" si="1"/>
        <v>-1169.1509433962265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36" t="s">
        <v>125</v>
      </c>
      <c r="C13" s="137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38"/>
      <c r="C14" s="139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36"/>
      <c r="C15" s="137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>
        <v>100</v>
      </c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36"/>
      <c r="C16" s="137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>
        <v>30</v>
      </c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36"/>
      <c r="C17" s="137"/>
      <c r="D17" s="91"/>
      <c r="E17" s="91"/>
      <c r="F17" s="91"/>
      <c r="G17" s="91"/>
      <c r="H17" s="91"/>
      <c r="I17" s="91"/>
      <c r="J17" s="91"/>
      <c r="K17" s="91"/>
      <c r="L17" s="91"/>
      <c r="M17" s="105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>
        <v>420</v>
      </c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36"/>
      <c r="C18" s="137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/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36"/>
      <c r="C19" s="137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36"/>
      <c r="C20" s="137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/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36"/>
      <c r="C21" s="137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/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36"/>
      <c r="C22" s="137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/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/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/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/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/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/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/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/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/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34"/>
      <c r="B36" s="135"/>
      <c r="C36" s="50">
        <f>SUM(C6:C35)</f>
        <v>9500</v>
      </c>
      <c r="D36" s="44">
        <f t="shared" ref="D36:AI36" si="3">SUM(D6:D35)</f>
        <v>6</v>
      </c>
      <c r="E36" s="44">
        <f t="shared" si="3"/>
        <v>6</v>
      </c>
      <c r="F36" s="44">
        <f t="shared" si="3"/>
        <v>8</v>
      </c>
      <c r="G36" s="44">
        <f t="shared" si="3"/>
        <v>8</v>
      </c>
      <c r="H36" s="44">
        <f t="shared" si="3"/>
        <v>8</v>
      </c>
      <c r="I36" s="44">
        <f t="shared" si="3"/>
        <v>7.5</v>
      </c>
      <c r="J36" s="44">
        <f t="shared" si="3"/>
        <v>5.5</v>
      </c>
      <c r="K36" s="44">
        <f t="shared" si="3"/>
        <v>0</v>
      </c>
      <c r="L36" s="44">
        <f t="shared" si="3"/>
        <v>6.5</v>
      </c>
      <c r="M36" s="44">
        <f t="shared" si="3"/>
        <v>8</v>
      </c>
      <c r="N36" s="44">
        <f t="shared" si="3"/>
        <v>8</v>
      </c>
      <c r="O36" s="44">
        <f t="shared" si="3"/>
        <v>8</v>
      </c>
      <c r="P36" s="44">
        <f t="shared" si="3"/>
        <v>0</v>
      </c>
      <c r="Q36" s="44">
        <f t="shared" si="3"/>
        <v>0</v>
      </c>
      <c r="R36" s="44">
        <f t="shared" si="3"/>
        <v>0</v>
      </c>
      <c r="S36" s="44">
        <f t="shared" si="3"/>
        <v>0</v>
      </c>
      <c r="T36" s="44">
        <f t="shared" si="3"/>
        <v>0</v>
      </c>
      <c r="U36" s="44">
        <f t="shared" si="3"/>
        <v>0</v>
      </c>
      <c r="V36" s="44">
        <f t="shared" si="3"/>
        <v>0</v>
      </c>
      <c r="W36" s="44">
        <f t="shared" si="3"/>
        <v>0</v>
      </c>
      <c r="X36" s="44">
        <f t="shared" si="3"/>
        <v>0</v>
      </c>
      <c r="Y36" s="44">
        <f t="shared" si="3"/>
        <v>0</v>
      </c>
      <c r="Z36" s="44">
        <f t="shared" si="3"/>
        <v>0</v>
      </c>
      <c r="AA36" s="44">
        <f t="shared" si="3"/>
        <v>0</v>
      </c>
      <c r="AB36" s="44">
        <f t="shared" si="3"/>
        <v>0</v>
      </c>
      <c r="AC36" s="44">
        <f t="shared" si="3"/>
        <v>0</v>
      </c>
      <c r="AD36" s="44">
        <f t="shared" si="3"/>
        <v>0</v>
      </c>
      <c r="AE36" s="44">
        <f t="shared" si="3"/>
        <v>0</v>
      </c>
      <c r="AF36" s="44">
        <f t="shared" si="3"/>
        <v>0</v>
      </c>
      <c r="AG36" s="44">
        <f t="shared" si="3"/>
        <v>0</v>
      </c>
      <c r="AH36" s="44">
        <f t="shared" si="3"/>
        <v>0</v>
      </c>
      <c r="AI36" s="44">
        <f t="shared" si="3"/>
        <v>79.5</v>
      </c>
      <c r="AJ36" s="45"/>
      <c r="AK36" s="47">
        <f>SUM(AK6:AK35)</f>
        <v>6885</v>
      </c>
      <c r="AL36" s="103"/>
      <c r="AM36" s="23">
        <f>SUM(AM6:AM35)</f>
        <v>6885</v>
      </c>
      <c r="AN36" s="23">
        <f>SUM(AN6:AN35)</f>
        <v>2615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C37" s="49"/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C38" s="49"/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C39" s="49"/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93"/>
      <c r="Q39" s="133">
        <f>C36-AK36</f>
        <v>2615</v>
      </c>
      <c r="R39" s="133"/>
      <c r="S39" s="13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C40" s="49"/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C41" s="49"/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C42" s="49"/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C43" s="49"/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C44" s="49"/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C45" s="49"/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C46" s="49"/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C47" s="49"/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C48" s="49"/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4" x14ac:dyDescent="0.4">
      <c r="C49" s="49"/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4" x14ac:dyDescent="0.4">
      <c r="C50" s="49"/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</row>
    <row r="51" spans="3:34" x14ac:dyDescent="0.4">
      <c r="C51" s="49"/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</row>
    <row r="52" spans="3:34" x14ac:dyDescent="0.4">
      <c r="C52" s="49"/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</row>
    <row r="53" spans="3:34" x14ac:dyDescent="0.4">
      <c r="C53" s="49"/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</row>
    <row r="54" spans="3:34" x14ac:dyDescent="0.4">
      <c r="C54" s="49"/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</row>
    <row r="55" spans="3:34" x14ac:dyDescent="0.4">
      <c r="C55" s="49"/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</row>
    <row r="56" spans="3:34" x14ac:dyDescent="0.4">
      <c r="C56" s="49"/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</row>
    <row r="57" spans="3:34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4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4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4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4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4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4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4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</sheetData>
  <mergeCells count="28">
    <mergeCell ref="Q39:S39"/>
    <mergeCell ref="A36:B36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0" t="s">
        <v>31</v>
      </c>
      <c r="D1" s="140" t="s">
        <v>32</v>
      </c>
      <c r="E1" s="140" t="s">
        <v>42</v>
      </c>
    </row>
    <row r="2" spans="3:13" s="10" customFormat="1" ht="7.5" customHeight="1" x14ac:dyDescent="0.3">
      <c r="C2" s="141"/>
      <c r="D2" s="141"/>
      <c r="E2" s="141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2" t="s">
        <v>31</v>
      </c>
      <c r="D35" s="142" t="s">
        <v>32</v>
      </c>
      <c r="E35" s="144" t="s">
        <v>35</v>
      </c>
    </row>
    <row r="36" spans="3:5" ht="21" customHeight="1" x14ac:dyDescent="0.3">
      <c r="C36" s="143"/>
      <c r="D36" s="143"/>
      <c r="E36" s="145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46" t="s">
        <v>95</v>
      </c>
      <c r="B61" s="146"/>
      <c r="C61" s="146"/>
      <c r="D61" s="146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06" t="s">
        <v>39</v>
      </c>
      <c r="B1" s="106"/>
      <c r="C1" s="106"/>
      <c r="D1" s="106"/>
      <c r="E1" s="106"/>
      <c r="F1" s="106"/>
      <c r="G1" s="106"/>
      <c r="H1" s="106"/>
    </row>
    <row r="2" spans="1:2901" ht="18.600000000000001" hidden="1" thickBot="1" x14ac:dyDescent="0.4">
      <c r="A2" s="107" t="s">
        <v>40</v>
      </c>
      <c r="B2" s="107"/>
      <c r="C2" s="107"/>
      <c r="D2" s="107"/>
      <c r="E2" s="107"/>
      <c r="F2" s="107"/>
      <c r="G2" s="107"/>
      <c r="H2" s="107"/>
    </row>
    <row r="3" spans="1:2901" ht="32.25" hidden="1" customHeight="1" thickBot="1" x14ac:dyDescent="0.6">
      <c r="A3" s="108" t="s">
        <v>41</v>
      </c>
      <c r="B3" s="109"/>
      <c r="C3" s="147"/>
      <c r="D3" s="127"/>
      <c r="E3" s="73"/>
      <c r="F3" s="53"/>
      <c r="G3" s="28"/>
      <c r="H3" s="2"/>
    </row>
    <row r="4" spans="1:2901" s="21" customFormat="1" ht="19.5" customHeight="1" x14ac:dyDescent="0.3">
      <c r="A4" s="153" t="s">
        <v>37</v>
      </c>
      <c r="B4" s="152" t="s">
        <v>0</v>
      </c>
      <c r="C4" s="151" t="s">
        <v>38</v>
      </c>
      <c r="D4" s="151" t="s">
        <v>29</v>
      </c>
      <c r="E4" s="117" t="s">
        <v>30</v>
      </c>
      <c r="F4" s="148" t="s">
        <v>56</v>
      </c>
      <c r="G4" s="122" t="s">
        <v>57</v>
      </c>
      <c r="H4" s="113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30"/>
      <c r="B5" s="132"/>
      <c r="C5" s="132"/>
      <c r="D5" s="132"/>
      <c r="E5" s="116"/>
      <c r="F5" s="149"/>
      <c r="G5" s="123"/>
      <c r="H5" s="114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34"/>
      <c r="B62" s="135"/>
      <c r="C62" s="135"/>
      <c r="D62" s="150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62:D62"/>
    <mergeCell ref="D4:D5"/>
    <mergeCell ref="C4:C5"/>
    <mergeCell ref="B4:B5"/>
    <mergeCell ref="A4:A5"/>
    <mergeCell ref="A1:H1"/>
    <mergeCell ref="A2:H2"/>
    <mergeCell ref="A3:B3"/>
    <mergeCell ref="C3:D3"/>
    <mergeCell ref="G4:G5"/>
    <mergeCell ref="H4:H5"/>
    <mergeCell ref="E4:E5"/>
    <mergeCell ref="F4:F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54" t="s">
        <v>116</v>
      </c>
      <c r="C1" s="154"/>
      <c r="D1" s="154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2021-09-12T12:23:14Z</dcterms:modified>
</cp:coreProperties>
</file>