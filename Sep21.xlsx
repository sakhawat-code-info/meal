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96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C8" i="1" l="1"/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<sst xmlns="http://schemas.openxmlformats.org/spreadsheetml/2006/main" count="281" uniqueCount="126">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</sst>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topLeftCell="H1" zoomScale="85" zoomScaleNormal="85" zoomScaleSheetLayoutView="85" workbookViewId="0">
      <pane ySplit="5" topLeftCell="A6" activePane="bottomLeft" state="frozen"/>
      <selection pane="bottomLeft" activeCell="L14" sqref="L14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>
        <v>2.5</v>
      </c>
      <c r="T6" s="91">
        <v>0</v>
      </c>
      <c r="U6" s="91">
        <v>1.5</v>
      </c>
      <c r="V6" s="91">
        <v>1</v>
      </c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24.5</v>
      </c>
      <c r="AJ6" s="31">
        <v>44440</v>
      </c>
      <c r="AK6" s="19">
        <f>1550+490+800+200+645+160+260</f>
        <v>4105</v>
      </c>
      <c r="AL6" s="100">
        <f>AK36/AI36</f>
        <v>67.080536912751683</v>
      </c>
      <c r="AM6" s="22">
        <f>AI6*AL6</f>
        <v>1643.4731543624162</v>
      </c>
      <c r="AN6" s="52">
        <f t="shared" ref="AN6:AN35" si="1">C6-AM6</f>
        <v>356.52684563758385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>
        <v>2.5</v>
      </c>
      <c r="T7" s="91">
        <v>1.5</v>
      </c>
      <c r="U7" s="91">
        <v>1.5</v>
      </c>
      <c r="V7" s="91">
        <v>1</v>
      </c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32.5</v>
      </c>
      <c r="AJ7" s="31">
        <v>44441</v>
      </c>
      <c r="AK7" s="19"/>
      <c r="AL7" s="101"/>
      <c r="AM7" s="22">
        <f>AI7*AL6</f>
        <v>2180.1174496644298</v>
      </c>
      <c r="AN7" s="87">
        <f t="shared" si="1"/>
        <v>-180.11744966442984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f>2000+80</f>
        <v>2080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>
        <v>2.5</v>
      </c>
      <c r="T8" s="91">
        <v>1.5</v>
      </c>
      <c r="U8" s="91">
        <v>1.5</v>
      </c>
      <c r="V8" s="91">
        <v>1</v>
      </c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32</v>
      </c>
      <c r="AJ8" s="31">
        <v>44442</v>
      </c>
      <c r="AK8" s="19">
        <v>2150</v>
      </c>
      <c r="AL8" s="101"/>
      <c r="AM8" s="22">
        <f>AI8*AL6</f>
        <v>2146.5771812080538</v>
      </c>
      <c r="AN8" s="87">
        <f t="shared" si="1"/>
        <v>-66.577181208053844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91">
        <v>2</v>
      </c>
      <c r="U9" s="91">
        <v>1</v>
      </c>
      <c r="V9" s="91">
        <v>1</v>
      </c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16</v>
      </c>
      <c r="AJ9" s="31">
        <v>44443</v>
      </c>
      <c r="AK9" s="19">
        <v>60</v>
      </c>
      <c r="AL9" s="101"/>
      <c r="AM9" s="22">
        <f>AI9*AL6</f>
        <v>1073.2885906040269</v>
      </c>
      <c r="AN9" s="87">
        <f t="shared" si="1"/>
        <v>426.71140939597308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19.5</v>
      </c>
      <c r="AJ10" s="31">
        <v>44444</v>
      </c>
      <c r="AK10" s="19"/>
      <c r="AL10" s="101"/>
      <c r="AM10" s="22">
        <f>AI10*AL6</f>
        <v>1308.0704697986578</v>
      </c>
      <c r="AN10" s="87">
        <f t="shared" si="1"/>
        <v>691.92953020134223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1500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>
        <v>1.5</v>
      </c>
      <c r="T11" s="91">
        <v>2.5</v>
      </c>
      <c r="U11" s="91">
        <v>1.5</v>
      </c>
      <c r="V11" s="91">
        <v>1</v>
      </c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24.5</v>
      </c>
      <c r="AJ11" s="31">
        <v>44445</v>
      </c>
      <c r="AK11" s="19">
        <v>20</v>
      </c>
      <c r="AL11" s="101"/>
      <c r="AM11" s="22">
        <f>AI11*AL6</f>
        <v>1643.4731543624162</v>
      </c>
      <c r="AN11" s="52">
        <f t="shared" si="1"/>
        <v>-143.47315436241615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0" t="s">
        <v>125</v>
      </c>
      <c r="C13" s="11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2"/>
      <c r="C14" s="11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0"/>
      <c r="C15" s="11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0"/>
      <c r="C16" s="11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0"/>
      <c r="C17" s="11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0"/>
      <c r="C18" s="11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0"/>
      <c r="C19" s="11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0"/>
      <c r="C20" s="11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0"/>
      <c r="C21" s="11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>
        <v>80</v>
      </c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0"/>
      <c r="C22" s="11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>
        <v>85</v>
      </c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>
        <v>160</v>
      </c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>
        <v>300</v>
      </c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8"/>
      <c r="B36" s="109"/>
      <c r="C36" s="50">
        <f>SUM(C6:C35)</f>
        <v>11080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11</v>
      </c>
      <c r="T36" s="44">
        <f t="shared" si="3"/>
        <v>8.5</v>
      </c>
      <c r="U36" s="44">
        <f t="shared" si="3"/>
        <v>8</v>
      </c>
      <c r="V36" s="44">
        <f t="shared" si="3"/>
        <v>6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149</v>
      </c>
      <c r="AJ36" s="45"/>
      <c r="AK36" s="47">
        <f>SUM(AK6:AK35)</f>
        <v>9995</v>
      </c>
      <c r="AL36" s="103"/>
      <c r="AM36" s="23">
        <f>SUM(AM6:AM35)</f>
        <v>9995.0000000000018</v>
      </c>
      <c r="AN36" s="23">
        <f>SUM(AN6:AN35)</f>
        <v>1084.9999999999993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07">
        <f>C36-AK36</f>
        <v>1085</v>
      </c>
      <c r="R39" s="107"/>
      <c r="S39" s="107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4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8"/>
      <c r="B62" s="109"/>
      <c r="C62" s="109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2021-09-19T13:39:18Z</dcterms:modified>
</cp:coreProperties>
</file>