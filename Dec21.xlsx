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10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C6" i="1" l="1"/>
  <c r="AK15" i="1" l="1"/>
  <c r="C7" i="1" l="1"/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<sst xmlns="http://schemas.openxmlformats.org/spreadsheetml/2006/main" count="280" uniqueCount="126">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</sst>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6" activePane="bottomLeft" state="frozen"/>
      <selection pane="bottomLeft" activeCell="AA15" sqref="AA15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hidden="1" customWidth="1"/>
    <col min="4" max="5" width="6" style="46" hidden="1" customWidth="1"/>
    <col min="6" max="6" width="6" style="91" hidden="1" customWidth="1"/>
    <col min="7" max="10" width="6" style="92" hidden="1" customWidth="1"/>
    <col min="11" max="12" width="6" style="46" hidden="1" customWidth="1"/>
    <col min="13" max="13" width="6" style="92" hidden="1" customWidth="1"/>
    <col min="14" max="14" width="6" style="93" hidden="1" customWidth="1"/>
    <col min="15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25" t="s">
        <v>39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</row>
    <row r="2" spans="1:2934" ht="18" hidden="1" x14ac:dyDescent="0.35">
      <c r="A2" s="126" t="s">
        <v>40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</row>
    <row r="3" spans="1:2934" ht="31.8" hidden="1" thickBot="1" x14ac:dyDescent="0.6">
      <c r="A3" s="127" t="s">
        <v>41</v>
      </c>
      <c r="B3" s="128"/>
      <c r="C3" s="112"/>
      <c r="D3" s="112"/>
      <c r="E3" s="112"/>
      <c r="F3" s="112"/>
      <c r="G3" s="112"/>
      <c r="H3" s="112"/>
      <c r="I3" s="112"/>
      <c r="J3" s="112"/>
      <c r="K3" s="112"/>
      <c r="L3" s="113"/>
      <c r="M3" s="145" t="s">
        <v>53</v>
      </c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14" t="s">
        <v>37</v>
      </c>
      <c r="B4" s="116" t="s">
        <v>0</v>
      </c>
      <c r="C4" s="118" t="s">
        <v>34</v>
      </c>
      <c r="D4" s="129" t="s">
        <v>124</v>
      </c>
      <c r="E4" s="130"/>
      <c r="F4" s="130"/>
      <c r="G4" s="130"/>
      <c r="H4" s="130"/>
      <c r="I4" s="130"/>
      <c r="J4" s="130"/>
      <c r="K4" s="130"/>
      <c r="L4" s="130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4" t="s">
        <v>30</v>
      </c>
      <c r="AJ4" s="136" t="s">
        <v>31</v>
      </c>
      <c r="AK4" s="137" t="s">
        <v>32</v>
      </c>
      <c r="AL4" s="139" t="s">
        <v>120</v>
      </c>
      <c r="AM4" s="141" t="s">
        <v>121</v>
      </c>
      <c r="AN4" s="143" t="s">
        <v>122</v>
      </c>
      <c r="AO4" s="132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15"/>
      <c r="B5" s="117"/>
      <c r="C5" s="119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35"/>
      <c r="AJ5" s="135"/>
      <c r="AK5" s="138"/>
      <c r="AL5" s="140"/>
      <c r="AM5" s="142"/>
      <c r="AN5" s="144"/>
      <c r="AO5" s="133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f>2000+50+165</f>
        <v>2215</v>
      </c>
      <c r="D6" s="86">
        <v>0</v>
      </c>
      <c r="E6" s="86">
        <v>0</v>
      </c>
      <c r="F6" s="86">
        <v>0</v>
      </c>
      <c r="G6" s="86">
        <v>1</v>
      </c>
      <c r="H6" s="86">
        <v>1.5</v>
      </c>
      <c r="I6" s="86">
        <v>1.5</v>
      </c>
      <c r="J6" s="86">
        <v>1.5</v>
      </c>
      <c r="K6" s="86">
        <v>1.5</v>
      </c>
      <c r="L6" s="86">
        <v>1.5</v>
      </c>
      <c r="M6" s="86">
        <v>0.5</v>
      </c>
      <c r="N6" s="86">
        <v>1.5</v>
      </c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10.5</v>
      </c>
      <c r="AJ6" s="31">
        <v>44531</v>
      </c>
      <c r="AK6" s="19"/>
      <c r="AL6" s="108">
        <f>AK35/AI35</f>
        <v>74.900662251655632</v>
      </c>
      <c r="AM6" s="22">
        <f>AI6*AL6</f>
        <v>786.45695364238418</v>
      </c>
      <c r="AN6" s="84">
        <f>C6-AM6</f>
        <v>1428.5430463576158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115+1000</f>
        <v>1115</v>
      </c>
      <c r="D7" s="86">
        <v>1</v>
      </c>
      <c r="E7" s="86">
        <v>1</v>
      </c>
      <c r="F7" s="86">
        <v>2.5</v>
      </c>
      <c r="G7" s="86">
        <v>1.5</v>
      </c>
      <c r="H7" s="86">
        <v>1.5</v>
      </c>
      <c r="I7" s="86">
        <v>1.5</v>
      </c>
      <c r="J7" s="86">
        <v>1.5</v>
      </c>
      <c r="K7" s="86">
        <v>1.5</v>
      </c>
      <c r="L7" s="86">
        <v>1.5</v>
      </c>
      <c r="M7" s="86">
        <v>1.5</v>
      </c>
      <c r="N7" s="86">
        <v>1.5</v>
      </c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16.5</v>
      </c>
      <c r="AJ7" s="31">
        <v>44532</v>
      </c>
      <c r="AK7" s="19"/>
      <c r="AL7" s="95"/>
      <c r="AM7" s="22">
        <f>AI7*AL6</f>
        <v>1235.860927152318</v>
      </c>
      <c r="AN7" s="84">
        <f t="shared" ref="AN7:AN34" si="1">C7-AM7</f>
        <v>-120.86092715231803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>
        <v>1.5</v>
      </c>
      <c r="I8" s="86">
        <v>1.5</v>
      </c>
      <c r="J8" s="86">
        <v>1.5</v>
      </c>
      <c r="K8" s="86">
        <v>1.5</v>
      </c>
      <c r="L8" s="86">
        <v>1.5</v>
      </c>
      <c r="M8" s="86">
        <v>4.5</v>
      </c>
      <c r="N8" s="86">
        <v>1.5</v>
      </c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18</v>
      </c>
      <c r="AJ8" s="31">
        <v>44533</v>
      </c>
      <c r="AK8" s="19"/>
      <c r="AL8" s="95"/>
      <c r="AM8" s="22">
        <f>AI8*AL6</f>
        <v>1348.2119205298013</v>
      </c>
      <c r="AN8" s="84">
        <f>C8-AM8</f>
        <v>151.78807947019868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1000</v>
      </c>
      <c r="D9" s="86">
        <v>1.5</v>
      </c>
      <c r="E9" s="86">
        <v>1</v>
      </c>
      <c r="F9" s="86">
        <v>2.5</v>
      </c>
      <c r="G9" s="86">
        <v>1.5</v>
      </c>
      <c r="H9" s="86">
        <v>1.5</v>
      </c>
      <c r="I9" s="86">
        <v>1.5</v>
      </c>
      <c r="J9" s="86">
        <v>1.5</v>
      </c>
      <c r="K9" s="86">
        <v>1.5</v>
      </c>
      <c r="L9" s="86">
        <v>1.5</v>
      </c>
      <c r="M9" s="86">
        <v>2.5</v>
      </c>
      <c r="N9" s="86">
        <v>1.5</v>
      </c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18</v>
      </c>
      <c r="AJ9" s="31">
        <v>44534</v>
      </c>
      <c r="AK9" s="19">
        <f>1360+1030+90+115+35+115</f>
        <v>2745</v>
      </c>
      <c r="AL9" s="95"/>
      <c r="AM9" s="22">
        <f>AI9*AL6</f>
        <v>1348.2119205298013</v>
      </c>
      <c r="AN9" s="84">
        <f t="shared" si="1"/>
        <v>-348.21192052980132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0</v>
      </c>
      <c r="D10" s="86">
        <v>1</v>
      </c>
      <c r="E10" s="86">
        <v>0</v>
      </c>
      <c r="F10" s="86">
        <v>0</v>
      </c>
      <c r="G10" s="86">
        <v>1</v>
      </c>
      <c r="H10" s="86">
        <v>1.5</v>
      </c>
      <c r="I10" s="86">
        <v>1.5</v>
      </c>
      <c r="J10" s="86">
        <v>1.5</v>
      </c>
      <c r="K10" s="86">
        <v>1.5</v>
      </c>
      <c r="L10" s="86">
        <v>0</v>
      </c>
      <c r="M10" s="86">
        <v>0</v>
      </c>
      <c r="N10" s="86">
        <v>0</v>
      </c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41">
        <f t="shared" si="0"/>
        <v>8</v>
      </c>
      <c r="AJ10" s="31">
        <v>44535</v>
      </c>
      <c r="AK10" s="19">
        <v>50</v>
      </c>
      <c r="AL10" s="95"/>
      <c r="AM10" s="22">
        <f>AI10*AL6</f>
        <v>599.20529801324506</v>
      </c>
      <c r="AN10" s="84">
        <f t="shared" si="1"/>
        <v>-599.20529801324506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>
        <v>1.5</v>
      </c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1.5</v>
      </c>
      <c r="AJ11" s="31">
        <v>44536</v>
      </c>
      <c r="AK11" s="19"/>
      <c r="AL11" s="95"/>
      <c r="AM11" s="22">
        <f>AI11*AL6</f>
        <v>112.35099337748345</v>
      </c>
      <c r="AN11" s="49">
        <f t="shared" si="1"/>
        <v>-112.35099337748345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23" t="s">
        <v>123</v>
      </c>
      <c r="C12" s="123"/>
      <c r="D12" s="86"/>
      <c r="E12" s="86"/>
      <c r="F12" s="86"/>
      <c r="G12" s="86"/>
      <c r="H12" s="86"/>
      <c r="I12" s="86"/>
      <c r="J12" s="86"/>
      <c r="K12" s="86">
        <v>1.5</v>
      </c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1.5</v>
      </c>
      <c r="AJ12" s="31">
        <v>44537</v>
      </c>
      <c r="AK12" s="19"/>
      <c r="AL12" s="95"/>
      <c r="AM12" s="22">
        <f>AI12*AL6</f>
        <v>112.35099337748345</v>
      </c>
      <c r="AN12" s="49">
        <f t="shared" si="1"/>
        <v>-112.35099337748345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24"/>
      <c r="C13" s="124"/>
      <c r="D13" s="86"/>
      <c r="E13" s="86"/>
      <c r="F13" s="86"/>
      <c r="G13" s="86"/>
      <c r="H13" s="86"/>
      <c r="I13" s="86"/>
      <c r="J13" s="86"/>
      <c r="K13" s="86">
        <v>1.5</v>
      </c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1.5</v>
      </c>
      <c r="AJ13" s="31">
        <v>44538</v>
      </c>
      <c r="AK13" s="19"/>
      <c r="AL13" s="95"/>
      <c r="AM13" s="22">
        <f>AI13*AL6</f>
        <v>112.35099337748345</v>
      </c>
      <c r="AN13" s="49">
        <f t="shared" si="1"/>
        <v>-112.35099337748345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44536</v>
      </c>
      <c r="AK14" s="19">
        <v>460</v>
      </c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44537</v>
      </c>
      <c r="AK15" s="19">
        <f>295+115+235</f>
        <v>645</v>
      </c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44540</v>
      </c>
      <c r="AK16" s="19">
        <v>1590</v>
      </c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44541</v>
      </c>
      <c r="AK17" s="19">
        <v>165</v>
      </c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44543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44544</v>
      </c>
      <c r="AK19" s="37"/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/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/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21"/>
      <c r="B35" s="122"/>
      <c r="C35" s="103">
        <f>SUM(C6:C34)</f>
        <v>5830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7.5</v>
      </c>
      <c r="I35" s="86">
        <f t="shared" si="3"/>
        <v>7.5</v>
      </c>
      <c r="J35" s="86">
        <f t="shared" si="3"/>
        <v>7.5</v>
      </c>
      <c r="K35" s="86">
        <f t="shared" si="3"/>
        <v>12</v>
      </c>
      <c r="L35" s="86">
        <f t="shared" si="3"/>
        <v>6</v>
      </c>
      <c r="M35" s="86">
        <f t="shared" si="3"/>
        <v>9</v>
      </c>
      <c r="N35" s="86">
        <f t="shared" si="3"/>
        <v>6</v>
      </c>
      <c r="O35" s="86">
        <f t="shared" si="3"/>
        <v>0</v>
      </c>
      <c r="P35" s="86">
        <f t="shared" si="3"/>
        <v>0</v>
      </c>
      <c r="Q35" s="86">
        <f t="shared" si="3"/>
        <v>0</v>
      </c>
      <c r="R35" s="86">
        <f t="shared" si="3"/>
        <v>0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0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75.5</v>
      </c>
      <c r="AJ35" s="99"/>
      <c r="AK35" s="104">
        <f>SUM(AK6:AK34)</f>
        <v>5655</v>
      </c>
      <c r="AL35" s="100"/>
      <c r="AM35" s="105">
        <f>SUM(AM6:AM34)</f>
        <v>5654.9999999999991</v>
      </c>
      <c r="AN35" s="106">
        <f>SUM(AN6:AN34)</f>
        <v>174.99999999999972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20">
        <f>C35-AK35</f>
        <v>175</v>
      </c>
      <c r="R38" s="120"/>
      <c r="S38" s="120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8:S38"/>
    <mergeCell ref="A35:B35"/>
    <mergeCell ref="B12:C12"/>
    <mergeCell ref="B13:C13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5" t="s">
        <v>39</v>
      </c>
      <c r="B1" s="125"/>
      <c r="C1" s="125"/>
      <c r="D1" s="125"/>
      <c r="E1" s="125"/>
      <c r="F1" s="125"/>
      <c r="G1" s="125"/>
      <c r="H1" s="125"/>
    </row>
    <row r="2" spans="1:2901" ht="18.600000000000001" hidden="1" thickBot="1" x14ac:dyDescent="0.4">
      <c r="A2" s="126" t="s">
        <v>40</v>
      </c>
      <c r="B2" s="126"/>
      <c r="C2" s="126"/>
      <c r="D2" s="126"/>
      <c r="E2" s="126"/>
      <c r="F2" s="126"/>
      <c r="G2" s="126"/>
      <c r="H2" s="126"/>
    </row>
    <row r="3" spans="1:2901" ht="32.25" hidden="1" customHeight="1" thickBot="1" x14ac:dyDescent="0.6">
      <c r="A3" s="127" t="s">
        <v>41</v>
      </c>
      <c r="B3" s="128"/>
      <c r="C3" s="153"/>
      <c r="D3" s="112"/>
      <c r="E3" s="70"/>
      <c r="F3" s="50"/>
      <c r="G3" s="28"/>
      <c r="H3" s="2"/>
    </row>
    <row r="4" spans="1:2901" s="21" customFormat="1" ht="19.5" customHeight="1" x14ac:dyDescent="0.3">
      <c r="A4" s="161" t="s">
        <v>37</v>
      </c>
      <c r="B4" s="160" t="s">
        <v>0</v>
      </c>
      <c r="C4" s="159" t="s">
        <v>38</v>
      </c>
      <c r="D4" s="159" t="s">
        <v>29</v>
      </c>
      <c r="E4" s="136" t="s">
        <v>30</v>
      </c>
      <c r="F4" s="154" t="s">
        <v>56</v>
      </c>
      <c r="G4" s="141" t="s">
        <v>57</v>
      </c>
      <c r="H4" s="132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15"/>
      <c r="B5" s="117"/>
      <c r="C5" s="117"/>
      <c r="D5" s="117"/>
      <c r="E5" s="135"/>
      <c r="F5" s="155"/>
      <c r="G5" s="142"/>
      <c r="H5" s="133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6"/>
      <c r="B62" s="157"/>
      <c r="C62" s="157"/>
      <c r="D62" s="158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2021-12-11T12:22:54Z</dcterms:modified>
</cp:coreProperties>
</file>