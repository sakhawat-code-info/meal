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192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Sheet1!$A$1:$AO$35</definedName>
  </definedNames>
  <calcPr calcId="152511"/>
</workbook>
</file>

<file path=xl/calcChain.xml><?xml version="1.0" encoding="utf-8"?>
<calcChain xmlns="http://schemas.openxmlformats.org/spreadsheetml/2006/main">
  <c r="AK15" i="1" l="1"/>
  <c r="C7" i="1" l="1"/>
  <c r="C6" i="1"/>
  <c r="AK9" i="1" l="1"/>
  <c r="C35" i="1" l="1"/>
  <c r="AI12" i="1" l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H35" i="1"/>
  <c r="AB35" i="1" l="1"/>
  <c r="AC35" i="1"/>
  <c r="AD35" i="1"/>
  <c r="AE35" i="1"/>
  <c r="AF35" i="1"/>
  <c r="AG35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5" i="1" l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D35" i="1"/>
  <c r="AI7" i="1"/>
  <c r="AI8" i="1"/>
  <c r="AI9" i="1"/>
  <c r="AI10" i="1"/>
  <c r="AI11" i="1"/>
  <c r="AI6" i="1" l="1"/>
  <c r="AI35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5" i="1"/>
  <c r="Q38" i="1" s="1"/>
  <c r="AL6" i="1" l="1"/>
  <c r="AM9" i="1" s="1"/>
  <c r="AN9" i="1" s="1"/>
  <c r="AM19" i="1" l="1"/>
  <c r="AN19" i="1" s="1"/>
  <c r="AM7" i="1"/>
  <c r="AN7" i="1" s="1"/>
  <c r="AM13" i="1"/>
  <c r="AN13" i="1" s="1"/>
  <c r="AM27" i="1"/>
  <c r="AN27" i="1" s="1"/>
  <c r="AM29" i="1"/>
  <c r="AN29" i="1" s="1"/>
  <c r="AM8" i="1"/>
  <c r="AN8" i="1" s="1"/>
  <c r="AM33" i="1"/>
  <c r="AN33" i="1" s="1"/>
  <c r="AM15" i="1"/>
  <c r="AN15" i="1" s="1"/>
  <c r="AM11" i="1"/>
  <c r="AN11" i="1" s="1"/>
  <c r="AM23" i="1"/>
  <c r="AN23" i="1" s="1"/>
  <c r="AM32" i="1"/>
  <c r="AN32" i="1" s="1"/>
  <c r="AM14" i="1"/>
  <c r="AN14" i="1" s="1"/>
  <c r="AM24" i="1"/>
  <c r="AN24" i="1" s="1"/>
  <c r="AM28" i="1"/>
  <c r="AN28" i="1" s="1"/>
  <c r="AM10" i="1"/>
  <c r="AN10" i="1" s="1"/>
  <c r="AM31" i="1"/>
  <c r="AN31" i="1" s="1"/>
  <c r="AM16" i="1"/>
  <c r="AN16" i="1" s="1"/>
  <c r="AM20" i="1"/>
  <c r="AN20" i="1" s="1"/>
  <c r="AM25" i="1"/>
  <c r="AN25" i="1" s="1"/>
  <c r="AM30" i="1"/>
  <c r="AN30" i="1" s="1"/>
  <c r="AM34" i="1"/>
  <c r="AN34" i="1" s="1"/>
  <c r="AM6" i="1"/>
  <c r="AN6" i="1" s="1"/>
  <c r="AM12" i="1"/>
  <c r="AN12" i="1" s="1"/>
  <c r="AM17" i="1"/>
  <c r="AN17" i="1" s="1"/>
  <c r="AM21" i="1"/>
  <c r="AN21" i="1" s="1"/>
  <c r="AM18" i="1"/>
  <c r="AN18" i="1" s="1"/>
  <c r="AM22" i="1"/>
  <c r="AN22" i="1" s="1"/>
  <c r="AM26" i="1"/>
  <c r="AN26" i="1" s="1"/>
  <c r="AN35" i="1" l="1"/>
  <c r="AM35" i="1"/>
</calcChain>
</file>

<file path=xl/sharedStrings.xml><?xml version="1.0" encoding="utf-8"?>
<sst xmlns="http://schemas.openxmlformats.org/spreadsheetml/2006/main" count="280" uniqueCount="126">
  <si>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</si>
  <si>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</si>
  <si>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</si>
  <si>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</si>
  <si>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</si>
  <si>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</si>
  <si>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</si>
  <si>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</si>
  <si>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</si>
  <si>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</si>
  <si>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</si>
  <si>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</si>
  <si>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</si>
  <si>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</si>
  <si>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</si>
  <si>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</si>
  <si>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</si>
  <si>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</si>
  <si>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</si>
  <si>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</si>
  <si>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</si>
  <si>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</si>
  <si>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</si>
  <si>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</si>
  <si>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</si>
  <si>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</si>
  <si>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</si>
  <si>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</si>
  <si>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</si>
  <si>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</si>
  <si>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</si>
  <si>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</si>
  <si>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</si>
  <si>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</si>
  <si>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</si>
  <si>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</si>
  <si>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</si>
  <si>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</si>
  <si>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</si>
  <si>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</si>
  <si>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</si>
  <si>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</si>
  <si>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</si>
  <si>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</si>
  <si>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</si>
  <si>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</si>
  <si>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</si>
  <si>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</si>
  <si>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</si>
  <si>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</si>
  <si>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</si>
  <si>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</si>
  <si>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</si>
  <si>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</si>
  <si>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</si>
  <si>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</si>
  <si>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</si>
  <si>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</si>
  <si>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</si>
  <si>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</si>
  <si>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</si>
  <si>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</si>
  <si>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</si>
  <si>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</si>
  <si>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</si>
  <si>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</si>
  <si>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</si>
  <si>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</si>
  <si>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</si>
  <si>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</si>
  <si>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</si>
  <si>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</si>
  <si>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</si>
  <si>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</si>
  <si>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</si>
  <si>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</si>
  <si>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</si>
  <si>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</si>
  <si>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</si>
  <si>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</si>
  <si>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</si>
  <si>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</si>
  <si>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</si>
  <si>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</si>
  <si>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</si>
  <si>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</si>
  <si>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</si>
  <si>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</si>
  <si>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</si>
  <si>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</si>
  <si>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</si>
  <si>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</si>
  <si>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</si>
  <si>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</si>
  <si>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</si>
  <si>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</si>
  <si>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</si>
  <si>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</si>
  <si>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</si>
  <si>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</si>
  <si>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</si>
  <si>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</si>
  <si>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</si>
  <si>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</si>
  <si>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</si>
  <si>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</si>
  <si>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</si>
  <si>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</si>
  <si>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</si>
  <si>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</si>
  <si>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</si>
  <si>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</si>
  <si>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</si>
  <si>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</si>
  <si>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</si>
  <si>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</si>
  <si>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</si>
  <si>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</si>
  <si>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</si>
  <si>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Sujon Ali</t>
  </si>
  <si>
    <t>Meal Rate</t>
  </si>
  <si>
    <t>Per Person Cast</t>
  </si>
  <si>
    <t>Due</t>
  </si>
  <si>
    <t xml:space="preserve">Note: </t>
  </si>
  <si>
    <t>December 2021 Month Canteen info</t>
  </si>
  <si>
    <t>Solaiman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</si>
</sst>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8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sz val="16"/>
      <color theme="9" tint="-0.249977111117893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.5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63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18" fillId="0" borderId="0" xfId="0" applyFont="1"/>
    <xf numFmtId="0" fontId="20" fillId="0" borderId="0" xfId="0" applyFont="1"/>
    <xf numFmtId="0" fontId="18" fillId="0" borderId="0" xfId="0" applyFont="1" applyBorder="1"/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4" fillId="2" borderId="1" xfId="0" applyFont="1" applyFill="1" applyBorder="1" applyAlignment="1">
      <alignment vertical="center" wrapText="1"/>
    </xf>
    <xf numFmtId="0" fontId="24" fillId="2" borderId="1" xfId="0" applyFont="1" applyFill="1" applyBorder="1" applyAlignment="1">
      <alignment vertical="center"/>
    </xf>
    <xf numFmtId="0" fontId="24" fillId="2" borderId="1" xfId="0" applyFont="1" applyFill="1" applyBorder="1" applyAlignment="1">
      <alignment horizontal="center" vertical="center"/>
    </xf>
    <xf numFmtId="0" fontId="24" fillId="0" borderId="0" xfId="0" applyFont="1" applyAlignment="1">
      <alignment horizontal="centerContinuous"/>
    </xf>
    <xf numFmtId="0" fontId="25" fillId="0" borderId="0" xfId="0" applyFont="1" applyAlignment="1">
      <alignment horizontal="centerContinuous"/>
    </xf>
    <xf numFmtId="0" fontId="25" fillId="0" borderId="1" xfId="0" applyFont="1" applyBorder="1"/>
    <xf numFmtId="0" fontId="25" fillId="0" borderId="1" xfId="0" applyFont="1" applyBorder="1" applyAlignment="1">
      <alignment horizont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left" vertical="center"/>
    </xf>
    <xf numFmtId="0" fontId="24" fillId="0" borderId="1" xfId="0" applyFont="1" applyFill="1" applyBorder="1" applyAlignment="1">
      <alignment horizontal="left" vertical="center" wrapText="1"/>
    </xf>
    <xf numFmtId="0" fontId="24" fillId="0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left" vertical="center"/>
    </xf>
    <xf numFmtId="0" fontId="24" fillId="0" borderId="1" xfId="0" applyFont="1" applyBorder="1" applyAlignment="1">
      <alignment horizontal="center" vertical="center"/>
    </xf>
    <xf numFmtId="0" fontId="25" fillId="2" borderId="1" xfId="0" applyFont="1" applyFill="1" applyBorder="1"/>
    <xf numFmtId="0" fontId="26" fillId="2" borderId="1" xfId="0" applyFont="1" applyFill="1" applyBorder="1" applyAlignment="1">
      <alignment horizontal="left" vertical="center" wrapText="1"/>
    </xf>
    <xf numFmtId="0" fontId="26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7" fillId="2" borderId="1" xfId="0" applyFont="1" applyFill="1" applyBorder="1" applyAlignment="1">
      <alignment horizontal="center" vertical="center"/>
    </xf>
    <xf numFmtId="0" fontId="27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center" vertical="center" wrapText="1"/>
    </xf>
    <xf numFmtId="167" fontId="28" fillId="2" borderId="1" xfId="0" applyNumberFormat="1" applyFont="1" applyFill="1" applyBorder="1" applyAlignment="1">
      <alignment horizontal="center" vertical="center"/>
    </xf>
    <xf numFmtId="165" fontId="27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left" vertical="center"/>
    </xf>
    <xf numFmtId="0" fontId="27" fillId="0" borderId="1" xfId="0" applyFont="1" applyFill="1" applyBorder="1" applyAlignment="1">
      <alignment horizontal="left" vertical="center" wrapText="1"/>
    </xf>
    <xf numFmtId="0" fontId="27" fillId="0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30" fillId="6" borderId="1" xfId="0" applyFont="1" applyFill="1" applyBorder="1" applyAlignment="1">
      <alignment vertical="center" wrapText="1"/>
    </xf>
    <xf numFmtId="168" fontId="29" fillId="0" borderId="1" xfId="0" applyNumberFormat="1" applyFont="1" applyBorder="1"/>
    <xf numFmtId="0" fontId="29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20" fillId="2" borderId="1" xfId="0" applyFont="1" applyFill="1" applyBorder="1"/>
    <xf numFmtId="169" fontId="20" fillId="2" borderId="1" xfId="0" applyNumberFormat="1" applyFont="1" applyFill="1" applyBorder="1"/>
    <xf numFmtId="0" fontId="7" fillId="2" borderId="1" xfId="0" applyFont="1" applyFill="1" applyBorder="1"/>
    <xf numFmtId="0" fontId="7" fillId="2" borderId="0" xfId="0" applyFont="1" applyFill="1" applyBorder="1"/>
    <xf numFmtId="0" fontId="16" fillId="10" borderId="1" xfId="0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165" fontId="13" fillId="10" borderId="1" xfId="0" applyNumberFormat="1" applyFont="1" applyFill="1" applyBorder="1" applyAlignment="1">
      <alignment horizontal="center" vertical="center"/>
    </xf>
    <xf numFmtId="165" fontId="35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169" fontId="3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/>
    </xf>
    <xf numFmtId="0" fontId="36" fillId="2" borderId="1" xfId="0" applyFont="1" applyFill="1" applyBorder="1" applyAlignment="1">
      <alignment vertical="top" wrapText="1"/>
    </xf>
    <xf numFmtId="0" fontId="26" fillId="2" borderId="1" xfId="0" applyFont="1" applyFill="1" applyBorder="1" applyAlignment="1">
      <alignment vertical="top" wrapText="1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1" fillId="9" borderId="2" xfId="0" applyFont="1" applyFill="1" applyBorder="1" applyAlignment="1">
      <alignment horizontal="center" vertical="center" wrapText="1"/>
    </xf>
    <xf numFmtId="0" fontId="31" fillId="9" borderId="3" xfId="0" applyFont="1" applyFill="1" applyBorder="1" applyAlignment="1">
      <alignment horizontal="center" vertical="center" wrapText="1"/>
    </xf>
    <xf numFmtId="3" fontId="20" fillId="0" borderId="0" xfId="0" applyNumberFormat="1" applyFont="1" applyBorder="1" applyAlignment="1">
      <alignment horizontal="center"/>
    </xf>
    <xf numFmtId="0" fontId="20" fillId="2" borderId="4" xfId="0" applyFont="1" applyFill="1" applyBorder="1" applyAlignment="1">
      <alignment horizontal="center"/>
    </xf>
    <xf numFmtId="0" fontId="20" fillId="2" borderId="5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top" wrapText="1"/>
    </xf>
    <xf numFmtId="0" fontId="26" fillId="2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33" fillId="9" borderId="4" xfId="0" applyFont="1" applyFill="1" applyBorder="1" applyAlignment="1">
      <alignment horizontal="center" vertical="center"/>
    </xf>
    <xf numFmtId="0" fontId="34" fillId="9" borderId="5" xfId="0" applyFont="1" applyFill="1" applyBorder="1"/>
    <xf numFmtId="0" fontId="34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29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7"/>
  <sheetViews>
    <sheetView tabSelected="1" zoomScale="73" zoomScaleNormal="73" zoomScaleSheetLayoutView="90" workbookViewId="0">
      <pane ySplit="5" topLeftCell="A6" activePane="bottomLeft" state="frozen"/>
      <selection pane="bottomLeft" activeCell="S19" sqref="S19"/>
    </sheetView>
  </sheetViews>
  <sheetFormatPr defaultRowHeight="21" x14ac:dyDescent="0.4"/>
  <cols>
    <col min="1" max="1" width="5" style="46" customWidth="1"/>
    <col min="2" max="2" width="25.109375" style="45" customWidth="1"/>
    <col min="3" max="3" width="9.44140625" style="45" customWidth="1"/>
    <col min="4" max="5" width="6" style="46" hidden="1" customWidth="1"/>
    <col min="6" max="6" width="6" style="91" hidden="1" customWidth="1"/>
    <col min="7" max="10" width="6" style="92" hidden="1" customWidth="1"/>
    <col min="11" max="11" width="6" style="46" hidden="1" customWidth="1"/>
    <col min="12" max="12" width="6" style="46" customWidth="1"/>
    <col min="13" max="13" width="6" style="92" customWidth="1"/>
    <col min="14" max="14" width="6" style="93" customWidth="1"/>
    <col min="15" max="33" width="6" style="46" customWidth="1"/>
    <col min="34" max="34" width="4.44140625" style="46" hidden="1" customWidth="1"/>
    <col min="35" max="35" width="6.88671875" style="45" customWidth="1"/>
    <col min="36" max="36" width="8.88671875" style="45" customWidth="1"/>
    <col min="37" max="37" width="10.6640625" style="46" customWidth="1"/>
    <col min="38" max="38" width="19.5546875" style="97" customWidth="1"/>
    <col min="39" max="39" width="15.6640625" style="29" customWidth="1"/>
    <col min="40" max="40" width="11.5546875" style="25" customWidth="1"/>
    <col min="41" max="41" width="9.88671875" customWidth="1"/>
    <col min="42" max="164" width="4" style="12" customWidth="1"/>
    <col min="165" max="2934" width="9" style="12"/>
  </cols>
  <sheetData>
    <row r="1" spans="1:2934" ht="28.8" hidden="1" x14ac:dyDescent="0.3">
      <c r="A1" s="125" t="s">
        <v>39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</row>
    <row r="2" spans="1:2934" ht="18" hidden="1" x14ac:dyDescent="0.35">
      <c r="A2" s="126" t="s">
        <v>40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6"/>
      <c r="AO2" s="126"/>
    </row>
    <row r="3" spans="1:2934" ht="31.8" hidden="1" thickBot="1" x14ac:dyDescent="0.6">
      <c r="A3" s="127" t="s">
        <v>41</v>
      </c>
      <c r="B3" s="128"/>
      <c r="C3" s="112"/>
      <c r="D3" s="112"/>
      <c r="E3" s="112"/>
      <c r="F3" s="112"/>
      <c r="G3" s="112"/>
      <c r="H3" s="112"/>
      <c r="I3" s="112"/>
      <c r="J3" s="112"/>
      <c r="K3" s="112"/>
      <c r="L3" s="113"/>
      <c r="M3" s="145" t="s">
        <v>53</v>
      </c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  <c r="AH3" s="145"/>
      <c r="AI3" s="145"/>
      <c r="AJ3" s="43"/>
      <c r="AK3" s="43"/>
      <c r="AL3" s="94"/>
      <c r="AM3" s="28"/>
      <c r="AN3" s="24"/>
      <c r="AO3" s="2"/>
    </row>
    <row r="4" spans="1:2934" s="21" customFormat="1" ht="30.6" customHeight="1" x14ac:dyDescent="0.4">
      <c r="A4" s="114" t="s">
        <v>37</v>
      </c>
      <c r="B4" s="116" t="s">
        <v>0</v>
      </c>
      <c r="C4" s="118" t="s">
        <v>34</v>
      </c>
      <c r="D4" s="129" t="s">
        <v>124</v>
      </c>
      <c r="E4" s="130"/>
      <c r="F4" s="130"/>
      <c r="G4" s="130"/>
      <c r="H4" s="130"/>
      <c r="I4" s="130"/>
      <c r="J4" s="130"/>
      <c r="K4" s="130"/>
      <c r="L4" s="130"/>
      <c r="M4" s="131"/>
      <c r="N4" s="131"/>
      <c r="O4" s="131"/>
      <c r="P4" s="131"/>
      <c r="Q4" s="131"/>
      <c r="R4" s="131"/>
      <c r="S4" s="131"/>
      <c r="T4" s="131"/>
      <c r="U4" s="131"/>
      <c r="V4" s="131"/>
      <c r="W4" s="131"/>
      <c r="X4" s="131"/>
      <c r="Y4" s="131"/>
      <c r="Z4" s="131"/>
      <c r="AA4" s="131"/>
      <c r="AB4" s="131"/>
      <c r="AC4" s="131"/>
      <c r="AD4" s="131"/>
      <c r="AE4" s="131"/>
      <c r="AF4" s="131"/>
      <c r="AG4" s="131"/>
      <c r="AH4" s="131"/>
      <c r="AI4" s="134" t="s">
        <v>30</v>
      </c>
      <c r="AJ4" s="136" t="s">
        <v>31</v>
      </c>
      <c r="AK4" s="137" t="s">
        <v>32</v>
      </c>
      <c r="AL4" s="139" t="s">
        <v>120</v>
      </c>
      <c r="AM4" s="141" t="s">
        <v>121</v>
      </c>
      <c r="AN4" s="143" t="s">
        <v>122</v>
      </c>
      <c r="AO4" s="132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5.8" customHeight="1" x14ac:dyDescent="0.3">
      <c r="A5" s="115"/>
      <c r="B5" s="117"/>
      <c r="C5" s="119"/>
      <c r="D5" s="85">
        <v>44531</v>
      </c>
      <c r="E5" s="85">
        <v>44532</v>
      </c>
      <c r="F5" s="85">
        <v>44533</v>
      </c>
      <c r="G5" s="85">
        <v>44534</v>
      </c>
      <c r="H5" s="85">
        <v>44535</v>
      </c>
      <c r="I5" s="85">
        <v>44536</v>
      </c>
      <c r="J5" s="85">
        <v>44537</v>
      </c>
      <c r="K5" s="85">
        <v>44538</v>
      </c>
      <c r="L5" s="85">
        <v>44539</v>
      </c>
      <c r="M5" s="85">
        <v>44540</v>
      </c>
      <c r="N5" s="85">
        <v>44541</v>
      </c>
      <c r="O5" s="85">
        <v>44542</v>
      </c>
      <c r="P5" s="85">
        <v>44543</v>
      </c>
      <c r="Q5" s="85">
        <v>44544</v>
      </c>
      <c r="R5" s="85">
        <v>44545</v>
      </c>
      <c r="S5" s="85">
        <v>44546</v>
      </c>
      <c r="T5" s="85">
        <v>44547</v>
      </c>
      <c r="U5" s="85">
        <v>44548</v>
      </c>
      <c r="V5" s="85">
        <v>44549</v>
      </c>
      <c r="W5" s="85">
        <v>44550</v>
      </c>
      <c r="X5" s="85">
        <v>44551</v>
      </c>
      <c r="Y5" s="85">
        <v>44552</v>
      </c>
      <c r="Z5" s="85">
        <v>44553</v>
      </c>
      <c r="AA5" s="85">
        <v>44554</v>
      </c>
      <c r="AB5" s="85">
        <v>44555</v>
      </c>
      <c r="AC5" s="85">
        <v>44556</v>
      </c>
      <c r="AD5" s="85">
        <v>44557</v>
      </c>
      <c r="AE5" s="85">
        <v>44558</v>
      </c>
      <c r="AF5" s="85">
        <v>44559</v>
      </c>
      <c r="AG5" s="85">
        <v>44560</v>
      </c>
      <c r="AH5" s="85"/>
      <c r="AI5" s="135"/>
      <c r="AJ5" s="135"/>
      <c r="AK5" s="138"/>
      <c r="AL5" s="140"/>
      <c r="AM5" s="142"/>
      <c r="AN5" s="144"/>
      <c r="AO5" s="133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107" t="s">
        <v>9</v>
      </c>
      <c r="C6" s="41">
        <f>2000+50</f>
        <v>2050</v>
      </c>
      <c r="D6" s="86">
        <v>0</v>
      </c>
      <c r="E6" s="86">
        <v>0</v>
      </c>
      <c r="F6" s="86">
        <v>0</v>
      </c>
      <c r="G6" s="86">
        <v>1</v>
      </c>
      <c r="H6" s="86">
        <v>1.5</v>
      </c>
      <c r="I6" s="86">
        <v>1.5</v>
      </c>
      <c r="J6" s="86">
        <v>1.5</v>
      </c>
      <c r="K6" s="86">
        <v>1.5</v>
      </c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  <c r="AD6" s="86"/>
      <c r="AE6" s="86"/>
      <c r="AF6" s="86"/>
      <c r="AG6" s="86"/>
      <c r="AH6" s="86"/>
      <c r="AI6" s="41">
        <f t="shared" ref="AI6:AI11" si="0">SUM(D6:AH6)</f>
        <v>7</v>
      </c>
      <c r="AJ6" s="31">
        <v>44531</v>
      </c>
      <c r="AK6" s="19"/>
      <c r="AL6" s="108">
        <f>AK35/AI35</f>
        <v>71.559633027522935</v>
      </c>
      <c r="AM6" s="22">
        <f>AI6*AL6</f>
        <v>500.91743119266056</v>
      </c>
      <c r="AN6" s="84">
        <f>C6-AM6</f>
        <v>1549.0825688073394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109" t="s">
        <v>117</v>
      </c>
      <c r="C7" s="41">
        <f>115+1000</f>
        <v>1115</v>
      </c>
      <c r="D7" s="86">
        <v>1</v>
      </c>
      <c r="E7" s="86">
        <v>1</v>
      </c>
      <c r="F7" s="86">
        <v>2.5</v>
      </c>
      <c r="G7" s="86">
        <v>1.5</v>
      </c>
      <c r="H7" s="86">
        <v>1.5</v>
      </c>
      <c r="I7" s="86">
        <v>1.5</v>
      </c>
      <c r="J7" s="86">
        <v>1.5</v>
      </c>
      <c r="K7" s="86">
        <v>1.5</v>
      </c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41">
        <f t="shared" si="0"/>
        <v>12</v>
      </c>
      <c r="AJ7" s="31">
        <v>44532</v>
      </c>
      <c r="AK7" s="19"/>
      <c r="AL7" s="95"/>
      <c r="AM7" s="22">
        <f>AI7*AL6</f>
        <v>858.71559633027528</v>
      </c>
      <c r="AN7" s="84">
        <f t="shared" ref="AN7:AN34" si="1">C7-AM7</f>
        <v>256.28440366972472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109" t="s">
        <v>118</v>
      </c>
      <c r="C8" s="41">
        <v>1500</v>
      </c>
      <c r="D8" s="86">
        <v>1</v>
      </c>
      <c r="E8" s="86">
        <v>1</v>
      </c>
      <c r="F8" s="86">
        <v>1</v>
      </c>
      <c r="G8" s="86">
        <v>1.5</v>
      </c>
      <c r="H8" s="86">
        <v>1.5</v>
      </c>
      <c r="I8" s="86">
        <v>1.5</v>
      </c>
      <c r="J8" s="86">
        <v>1.5</v>
      </c>
      <c r="K8" s="86">
        <v>1.5</v>
      </c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41">
        <f t="shared" si="0"/>
        <v>10.5</v>
      </c>
      <c r="AJ8" s="31">
        <v>44533</v>
      </c>
      <c r="AK8" s="19"/>
      <c r="AL8" s="95"/>
      <c r="AM8" s="22">
        <f>AI8*AL6</f>
        <v>751.37614678899081</v>
      </c>
      <c r="AN8" s="84">
        <f>C8-AM8</f>
        <v>748.62385321100919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5</v>
      </c>
      <c r="B9" s="107" t="s">
        <v>125</v>
      </c>
      <c r="C9" s="41">
        <v>1000</v>
      </c>
      <c r="D9" s="86">
        <v>1.5</v>
      </c>
      <c r="E9" s="86">
        <v>1</v>
      </c>
      <c r="F9" s="86">
        <v>2.5</v>
      </c>
      <c r="G9" s="86">
        <v>1.5</v>
      </c>
      <c r="H9" s="86">
        <v>1.5</v>
      </c>
      <c r="I9" s="86">
        <v>1.5</v>
      </c>
      <c r="J9" s="86">
        <v>1.5</v>
      </c>
      <c r="K9" s="86">
        <v>1.5</v>
      </c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86"/>
      <c r="AF9" s="86"/>
      <c r="AG9" s="86"/>
      <c r="AH9" s="86"/>
      <c r="AI9" s="41">
        <f t="shared" si="0"/>
        <v>12.5</v>
      </c>
      <c r="AJ9" s="31">
        <v>44534</v>
      </c>
      <c r="AK9" s="19">
        <f>1360+1030+90+115+35+115</f>
        <v>2745</v>
      </c>
      <c r="AL9" s="95"/>
      <c r="AM9" s="22">
        <f>AI9*AL6</f>
        <v>894.49541284403665</v>
      </c>
      <c r="AN9" s="84">
        <f t="shared" si="1"/>
        <v>105.50458715596335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9" customFormat="1" ht="25.5" customHeight="1" x14ac:dyDescent="0.35">
      <c r="A10" s="40">
        <v>6</v>
      </c>
      <c r="B10" s="109" t="s">
        <v>119</v>
      </c>
      <c r="C10" s="41">
        <v>0</v>
      </c>
      <c r="D10" s="86">
        <v>1</v>
      </c>
      <c r="E10" s="86">
        <v>0</v>
      </c>
      <c r="F10" s="86">
        <v>0</v>
      </c>
      <c r="G10" s="86">
        <v>1</v>
      </c>
      <c r="H10" s="86">
        <v>1.5</v>
      </c>
      <c r="I10" s="86">
        <v>1.5</v>
      </c>
      <c r="J10" s="86">
        <v>1.5</v>
      </c>
      <c r="K10" s="86">
        <v>1.5</v>
      </c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  <c r="AD10" s="86"/>
      <c r="AE10" s="86"/>
      <c r="AF10" s="86"/>
      <c r="AG10" s="86"/>
      <c r="AH10" s="86"/>
      <c r="AI10" s="41">
        <f t="shared" si="0"/>
        <v>8</v>
      </c>
      <c r="AJ10" s="31">
        <v>44535</v>
      </c>
      <c r="AK10" s="19">
        <v>50</v>
      </c>
      <c r="AL10" s="95"/>
      <c r="AM10" s="22">
        <f>AI10*AL6</f>
        <v>572.47706422018348</v>
      </c>
      <c r="AN10" s="84">
        <f t="shared" si="1"/>
        <v>-572.47706422018348</v>
      </c>
      <c r="AO10" s="38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0"/>
      <c r="FB10" s="20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0"/>
      <c r="FS10" s="20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0"/>
      <c r="GJ10" s="20"/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0"/>
      <c r="HA10" s="20"/>
      <c r="HB10" s="20"/>
      <c r="HC10" s="20"/>
      <c r="HD10" s="20"/>
      <c r="HE10" s="20"/>
      <c r="HF10" s="20"/>
      <c r="HG10" s="20"/>
      <c r="HH10" s="20"/>
      <c r="HI10" s="20"/>
      <c r="HJ10" s="20"/>
      <c r="HK10" s="20"/>
      <c r="HL10" s="20"/>
      <c r="HM10" s="20"/>
      <c r="HN10" s="20"/>
      <c r="HO10" s="20"/>
      <c r="HP10" s="20"/>
      <c r="HQ10" s="20"/>
      <c r="HR10" s="20"/>
      <c r="HS10" s="20"/>
      <c r="HT10" s="20"/>
      <c r="HU10" s="20"/>
      <c r="HV10" s="20"/>
      <c r="HW10" s="20"/>
      <c r="HX10" s="20"/>
      <c r="HY10" s="20"/>
      <c r="HZ10" s="20"/>
      <c r="IA10" s="20"/>
      <c r="IB10" s="20"/>
      <c r="IC10" s="20"/>
      <c r="ID10" s="20"/>
      <c r="IE10" s="20"/>
      <c r="IF10" s="20"/>
      <c r="IG10" s="20"/>
      <c r="IH10" s="20"/>
      <c r="II10" s="20"/>
      <c r="IJ10" s="20"/>
      <c r="IK10" s="20"/>
      <c r="IL10" s="20"/>
      <c r="IM10" s="20"/>
      <c r="IN10" s="20"/>
      <c r="IO10" s="20"/>
      <c r="IP10" s="20"/>
      <c r="IQ10" s="20"/>
      <c r="IR10" s="20"/>
      <c r="IS10" s="20"/>
      <c r="IT10" s="20"/>
      <c r="IU10" s="20"/>
      <c r="IV10" s="20"/>
      <c r="IW10" s="20"/>
      <c r="IX10" s="20"/>
      <c r="IY10" s="20"/>
      <c r="IZ10" s="20"/>
      <c r="JA10" s="20"/>
      <c r="JB10" s="20"/>
      <c r="JC10" s="20"/>
      <c r="JD10" s="20"/>
      <c r="JE10" s="20"/>
      <c r="JF10" s="20"/>
      <c r="JG10" s="20"/>
      <c r="JH10" s="20"/>
      <c r="JI10" s="20"/>
      <c r="JJ10" s="20"/>
      <c r="JK10" s="20"/>
      <c r="JL10" s="20"/>
      <c r="JM10" s="20"/>
      <c r="JN10" s="20"/>
      <c r="JO10" s="20"/>
      <c r="JP10" s="20"/>
      <c r="JQ10" s="20"/>
      <c r="JR10" s="20"/>
      <c r="JS10" s="20"/>
      <c r="JT10" s="20"/>
      <c r="JU10" s="20"/>
      <c r="JV10" s="20"/>
      <c r="JW10" s="20"/>
      <c r="JX10" s="20"/>
      <c r="JY10" s="20"/>
      <c r="JZ10" s="20"/>
      <c r="KA10" s="20"/>
      <c r="KB10" s="20"/>
      <c r="KC10" s="20"/>
      <c r="KD10" s="20"/>
      <c r="KE10" s="20"/>
      <c r="KF10" s="20"/>
      <c r="KG10" s="20"/>
      <c r="KH10" s="20"/>
      <c r="KI10" s="20"/>
      <c r="KJ10" s="20"/>
      <c r="KK10" s="20"/>
      <c r="KL10" s="20"/>
      <c r="KM10" s="20"/>
      <c r="KN10" s="20"/>
      <c r="KO10" s="20"/>
      <c r="KP10" s="20"/>
      <c r="KQ10" s="20"/>
      <c r="KR10" s="20"/>
      <c r="KS10" s="20"/>
      <c r="KT10" s="20"/>
      <c r="KU10" s="20"/>
      <c r="KV10" s="20"/>
      <c r="KW10" s="20"/>
      <c r="KX10" s="20"/>
      <c r="KY10" s="20"/>
      <c r="KZ10" s="20"/>
      <c r="LA10" s="20"/>
      <c r="LB10" s="20"/>
      <c r="LC10" s="20"/>
      <c r="LD10" s="20"/>
      <c r="LE10" s="20"/>
      <c r="LF10" s="20"/>
      <c r="LG10" s="20"/>
      <c r="LH10" s="20"/>
      <c r="LI10" s="20"/>
      <c r="LJ10" s="20"/>
      <c r="LK10" s="20"/>
      <c r="LL10" s="20"/>
      <c r="LM10" s="20"/>
      <c r="LN10" s="20"/>
      <c r="LO10" s="20"/>
      <c r="LP10" s="20"/>
      <c r="LQ10" s="20"/>
      <c r="LR10" s="20"/>
      <c r="LS10" s="20"/>
      <c r="LT10" s="20"/>
      <c r="LU10" s="20"/>
      <c r="LV10" s="20"/>
      <c r="LW10" s="20"/>
      <c r="LX10" s="20"/>
      <c r="LY10" s="20"/>
      <c r="LZ10" s="20"/>
      <c r="MA10" s="20"/>
      <c r="MB10" s="20"/>
      <c r="MC10" s="20"/>
      <c r="MD10" s="20"/>
      <c r="ME10" s="20"/>
      <c r="MF10" s="20"/>
      <c r="MG10" s="20"/>
      <c r="MH10" s="20"/>
      <c r="MI10" s="20"/>
      <c r="MJ10" s="20"/>
      <c r="MK10" s="20"/>
      <c r="ML10" s="20"/>
      <c r="MM10" s="20"/>
      <c r="MN10" s="20"/>
      <c r="MO10" s="20"/>
      <c r="MP10" s="20"/>
      <c r="MQ10" s="20"/>
      <c r="MR10" s="20"/>
      <c r="MS10" s="20"/>
      <c r="MT10" s="20"/>
      <c r="MU10" s="20"/>
      <c r="MV10" s="20"/>
      <c r="MW10" s="20"/>
      <c r="MX10" s="20"/>
      <c r="MY10" s="20"/>
      <c r="MZ10" s="20"/>
      <c r="NA10" s="20"/>
      <c r="NB10" s="20"/>
      <c r="NC10" s="20"/>
      <c r="ND10" s="20"/>
      <c r="NE10" s="20"/>
      <c r="NF10" s="20"/>
      <c r="NG10" s="20"/>
      <c r="NH10" s="20"/>
      <c r="NI10" s="20"/>
      <c r="NJ10" s="20"/>
      <c r="NK10" s="20"/>
      <c r="NL10" s="20"/>
      <c r="NM10" s="20"/>
      <c r="NN10" s="20"/>
      <c r="NO10" s="20"/>
      <c r="NP10" s="20"/>
      <c r="NQ10" s="20"/>
      <c r="NR10" s="20"/>
      <c r="NS10" s="20"/>
      <c r="NT10" s="20"/>
      <c r="NU10" s="20"/>
      <c r="NV10" s="20"/>
      <c r="NW10" s="20"/>
      <c r="NX10" s="20"/>
      <c r="NY10" s="20"/>
      <c r="NZ10" s="20"/>
      <c r="OA10" s="20"/>
      <c r="OB10" s="20"/>
      <c r="OC10" s="20"/>
      <c r="OD10" s="20"/>
      <c r="OE10" s="20"/>
      <c r="OF10" s="20"/>
      <c r="OG10" s="20"/>
      <c r="OH10" s="20"/>
      <c r="OI10" s="20"/>
      <c r="OJ10" s="20"/>
      <c r="OK10" s="20"/>
      <c r="OL10" s="20"/>
      <c r="OM10" s="20"/>
      <c r="ON10" s="20"/>
      <c r="OO10" s="20"/>
      <c r="OP10" s="20"/>
      <c r="OQ10" s="20"/>
      <c r="OR10" s="20"/>
      <c r="OS10" s="20"/>
      <c r="OT10" s="20"/>
      <c r="OU10" s="20"/>
      <c r="OV10" s="20"/>
      <c r="OW10" s="20"/>
      <c r="OX10" s="20"/>
      <c r="OY10" s="20"/>
      <c r="OZ10" s="20"/>
      <c r="PA10" s="20"/>
      <c r="PB10" s="20"/>
      <c r="PC10" s="20"/>
      <c r="PD10" s="20"/>
      <c r="PE10" s="20"/>
      <c r="PF10" s="20"/>
      <c r="PG10" s="20"/>
      <c r="PH10" s="20"/>
      <c r="PI10" s="20"/>
      <c r="PJ10" s="20"/>
      <c r="PK10" s="20"/>
      <c r="PL10" s="20"/>
      <c r="PM10" s="20"/>
      <c r="PN10" s="20"/>
      <c r="PO10" s="20"/>
      <c r="PP10" s="20"/>
      <c r="PQ10" s="20"/>
      <c r="PR10" s="20"/>
      <c r="PS10" s="20"/>
      <c r="PT10" s="20"/>
      <c r="PU10" s="20"/>
      <c r="PV10" s="20"/>
      <c r="PW10" s="20"/>
      <c r="PX10" s="20"/>
      <c r="PY10" s="20"/>
      <c r="PZ10" s="20"/>
      <c r="QA10" s="20"/>
      <c r="QB10" s="20"/>
      <c r="QC10" s="20"/>
      <c r="QD10" s="20"/>
      <c r="QE10" s="20"/>
      <c r="QF10" s="20"/>
      <c r="QG10" s="20"/>
      <c r="QH10" s="20"/>
      <c r="QI10" s="20"/>
      <c r="QJ10" s="20"/>
      <c r="QK10" s="20"/>
      <c r="QL10" s="20"/>
      <c r="QM10" s="20"/>
      <c r="QN10" s="20"/>
      <c r="QO10" s="20"/>
      <c r="QP10" s="20"/>
      <c r="QQ10" s="20"/>
      <c r="QR10" s="20"/>
      <c r="QS10" s="20"/>
      <c r="QT10" s="20"/>
      <c r="QU10" s="20"/>
      <c r="QV10" s="20"/>
      <c r="QW10" s="20"/>
      <c r="QX10" s="20"/>
      <c r="QY10" s="20"/>
      <c r="QZ10" s="20"/>
      <c r="RA10" s="20"/>
      <c r="RB10" s="20"/>
      <c r="RC10" s="20"/>
      <c r="RD10" s="20"/>
      <c r="RE10" s="20"/>
      <c r="RF10" s="20"/>
      <c r="RG10" s="20"/>
      <c r="RH10" s="20"/>
      <c r="RI10" s="20"/>
      <c r="RJ10" s="20"/>
      <c r="RK10" s="20"/>
      <c r="RL10" s="20"/>
      <c r="RM10" s="20"/>
      <c r="RN10" s="20"/>
      <c r="RO10" s="20"/>
      <c r="RP10" s="20"/>
      <c r="RQ10" s="20"/>
      <c r="RR10" s="20"/>
      <c r="RS10" s="20"/>
      <c r="RT10" s="20"/>
      <c r="RU10" s="20"/>
      <c r="RV10" s="20"/>
      <c r="RW10" s="20"/>
      <c r="RX10" s="20"/>
      <c r="RY10" s="20"/>
      <c r="RZ10" s="20"/>
      <c r="SA10" s="20"/>
      <c r="SB10" s="20"/>
      <c r="SC10" s="20"/>
      <c r="SD10" s="20"/>
      <c r="SE10" s="20"/>
      <c r="SF10" s="20"/>
      <c r="SG10" s="20"/>
      <c r="SH10" s="20"/>
      <c r="SI10" s="20"/>
      <c r="SJ10" s="20"/>
      <c r="SK10" s="20"/>
      <c r="SL10" s="20"/>
      <c r="SM10" s="20"/>
      <c r="SN10" s="20"/>
      <c r="SO10" s="20"/>
      <c r="SP10" s="20"/>
      <c r="SQ10" s="20"/>
      <c r="SR10" s="20"/>
      <c r="SS10" s="20"/>
      <c r="ST10" s="20"/>
      <c r="SU10" s="20"/>
      <c r="SV10" s="20"/>
      <c r="SW10" s="20"/>
      <c r="SX10" s="20"/>
      <c r="SY10" s="20"/>
      <c r="SZ10" s="20"/>
      <c r="TA10" s="20"/>
      <c r="TB10" s="20"/>
      <c r="TC10" s="20"/>
      <c r="TD10" s="20"/>
      <c r="TE10" s="20"/>
      <c r="TF10" s="20"/>
      <c r="TG10" s="20"/>
      <c r="TH10" s="20"/>
      <c r="TI10" s="20"/>
      <c r="TJ10" s="20"/>
      <c r="TK10" s="20"/>
      <c r="TL10" s="20"/>
      <c r="TM10" s="20"/>
      <c r="TN10" s="20"/>
      <c r="TO10" s="20"/>
      <c r="TP10" s="20"/>
      <c r="TQ10" s="20"/>
      <c r="TR10" s="20"/>
      <c r="TS10" s="20"/>
      <c r="TT10" s="20"/>
      <c r="TU10" s="20"/>
      <c r="TV10" s="20"/>
      <c r="TW10" s="20"/>
      <c r="TX10" s="20"/>
      <c r="TY10" s="20"/>
      <c r="TZ10" s="20"/>
      <c r="UA10" s="20"/>
      <c r="UB10" s="20"/>
      <c r="UC10" s="20"/>
      <c r="UD10" s="20"/>
      <c r="UE10" s="20"/>
      <c r="UF10" s="20"/>
      <c r="UG10" s="20"/>
      <c r="UH10" s="20"/>
      <c r="UI10" s="20"/>
      <c r="UJ10" s="20"/>
      <c r="UK10" s="20"/>
      <c r="UL10" s="20"/>
      <c r="UM10" s="20"/>
      <c r="UN10" s="20"/>
      <c r="UO10" s="20"/>
      <c r="UP10" s="20"/>
      <c r="UQ10" s="20"/>
      <c r="UR10" s="20"/>
      <c r="US10" s="20"/>
      <c r="UT10" s="20"/>
      <c r="UU10" s="20"/>
      <c r="UV10" s="20"/>
      <c r="UW10" s="20"/>
      <c r="UX10" s="20"/>
      <c r="UY10" s="20"/>
      <c r="UZ10" s="20"/>
      <c r="VA10" s="20"/>
      <c r="VB10" s="20"/>
      <c r="VC10" s="20"/>
      <c r="VD10" s="20"/>
      <c r="VE10" s="20"/>
      <c r="VF10" s="20"/>
      <c r="VG10" s="20"/>
      <c r="VH10" s="20"/>
      <c r="VI10" s="20"/>
      <c r="VJ10" s="20"/>
      <c r="VK10" s="20"/>
      <c r="VL10" s="20"/>
      <c r="VM10" s="20"/>
      <c r="VN10" s="20"/>
      <c r="VO10" s="20"/>
      <c r="VP10" s="20"/>
      <c r="VQ10" s="20"/>
      <c r="VR10" s="20"/>
      <c r="VS10" s="20"/>
      <c r="VT10" s="20"/>
      <c r="VU10" s="20"/>
      <c r="VV10" s="20"/>
      <c r="VW10" s="20"/>
      <c r="VX10" s="20"/>
      <c r="VY10" s="20"/>
      <c r="VZ10" s="20"/>
      <c r="WA10" s="20"/>
      <c r="WB10" s="20"/>
      <c r="WC10" s="20"/>
      <c r="WD10" s="20"/>
      <c r="WE10" s="20"/>
      <c r="WF10" s="20"/>
      <c r="WG10" s="20"/>
      <c r="WH10" s="20"/>
      <c r="WI10" s="20"/>
      <c r="WJ10" s="20"/>
      <c r="WK10" s="20"/>
      <c r="WL10" s="20"/>
      <c r="WM10" s="20"/>
      <c r="WN10" s="20"/>
      <c r="WO10" s="20"/>
      <c r="WP10" s="20"/>
      <c r="WQ10" s="20"/>
      <c r="WR10" s="20"/>
      <c r="WS10" s="20"/>
      <c r="WT10" s="20"/>
      <c r="WU10" s="20"/>
      <c r="WV10" s="20"/>
      <c r="WW10" s="20"/>
      <c r="WX10" s="20"/>
      <c r="WY10" s="20"/>
      <c r="WZ10" s="20"/>
      <c r="XA10" s="20"/>
      <c r="XB10" s="20"/>
      <c r="XC10" s="20"/>
      <c r="XD10" s="20"/>
      <c r="XE10" s="20"/>
      <c r="XF10" s="20"/>
      <c r="XG10" s="20"/>
      <c r="XH10" s="20"/>
      <c r="XI10" s="20"/>
      <c r="XJ10" s="20"/>
      <c r="XK10" s="20"/>
      <c r="XL10" s="20"/>
      <c r="XM10" s="20"/>
      <c r="XN10" s="20"/>
      <c r="XO10" s="20"/>
      <c r="XP10" s="20"/>
      <c r="XQ10" s="20"/>
      <c r="XR10" s="20"/>
      <c r="XS10" s="20"/>
      <c r="XT10" s="20"/>
      <c r="XU10" s="20"/>
      <c r="XV10" s="20"/>
      <c r="XW10" s="20"/>
      <c r="XX10" s="20"/>
      <c r="XY10" s="20"/>
      <c r="XZ10" s="20"/>
      <c r="YA10" s="20"/>
      <c r="YB10" s="20"/>
      <c r="YC10" s="20"/>
      <c r="YD10" s="20"/>
      <c r="YE10" s="20"/>
      <c r="YF10" s="20"/>
      <c r="YG10" s="20"/>
      <c r="YH10" s="20"/>
      <c r="YI10" s="20"/>
      <c r="YJ10" s="20"/>
      <c r="YK10" s="20"/>
      <c r="YL10" s="20"/>
      <c r="YM10" s="20"/>
      <c r="YN10" s="20"/>
      <c r="YO10" s="20"/>
      <c r="YP10" s="20"/>
      <c r="YQ10" s="20"/>
      <c r="YR10" s="20"/>
      <c r="YS10" s="20"/>
      <c r="YT10" s="20"/>
      <c r="YU10" s="20"/>
      <c r="YV10" s="20"/>
      <c r="YW10" s="20"/>
      <c r="YX10" s="20"/>
      <c r="YY10" s="20"/>
      <c r="YZ10" s="20"/>
      <c r="ZA10" s="20"/>
      <c r="ZB10" s="20"/>
      <c r="ZC10" s="20"/>
      <c r="ZD10" s="20"/>
      <c r="ZE10" s="20"/>
      <c r="ZF10" s="20"/>
      <c r="ZG10" s="20"/>
      <c r="ZH10" s="20"/>
      <c r="ZI10" s="20"/>
      <c r="ZJ10" s="20"/>
      <c r="ZK10" s="20"/>
      <c r="ZL10" s="20"/>
      <c r="ZM10" s="20"/>
      <c r="ZN10" s="20"/>
      <c r="ZO10" s="20"/>
      <c r="ZP10" s="20"/>
      <c r="ZQ10" s="20"/>
      <c r="ZR10" s="20"/>
      <c r="ZS10" s="20"/>
      <c r="ZT10" s="20"/>
      <c r="ZU10" s="20"/>
      <c r="ZV10" s="20"/>
      <c r="ZW10" s="20"/>
      <c r="ZX10" s="20"/>
      <c r="ZY10" s="20"/>
      <c r="ZZ10" s="20"/>
      <c r="AAA10" s="20"/>
      <c r="AAB10" s="20"/>
      <c r="AAC10" s="20"/>
      <c r="AAD10" s="20"/>
      <c r="AAE10" s="20"/>
      <c r="AAF10" s="20"/>
      <c r="AAG10" s="20"/>
      <c r="AAH10" s="20"/>
      <c r="AAI10" s="20"/>
      <c r="AAJ10" s="20"/>
      <c r="AAK10" s="20"/>
      <c r="AAL10" s="20"/>
      <c r="AAM10" s="20"/>
      <c r="AAN10" s="20"/>
      <c r="AAO10" s="20"/>
      <c r="AAP10" s="20"/>
      <c r="AAQ10" s="20"/>
      <c r="AAR10" s="20"/>
      <c r="AAS10" s="20"/>
      <c r="AAT10" s="20"/>
      <c r="AAU10" s="20"/>
      <c r="AAV10" s="20"/>
      <c r="AAW10" s="20"/>
      <c r="AAX10" s="20"/>
      <c r="AAY10" s="20"/>
      <c r="AAZ10" s="20"/>
      <c r="ABA10" s="20"/>
      <c r="ABB10" s="20"/>
      <c r="ABC10" s="20"/>
      <c r="ABD10" s="20"/>
      <c r="ABE10" s="20"/>
      <c r="ABF10" s="20"/>
      <c r="ABG10" s="20"/>
      <c r="ABH10" s="20"/>
      <c r="ABI10" s="20"/>
      <c r="ABJ10" s="20"/>
      <c r="ABK10" s="20"/>
      <c r="ABL10" s="20"/>
      <c r="ABM10" s="20"/>
      <c r="ABN10" s="20"/>
      <c r="ABO10" s="20"/>
      <c r="ABP10" s="20"/>
      <c r="ABQ10" s="20"/>
      <c r="ABR10" s="20"/>
      <c r="ABS10" s="20"/>
      <c r="ABT10" s="20"/>
      <c r="ABU10" s="20"/>
      <c r="ABV10" s="20"/>
      <c r="ABW10" s="20"/>
      <c r="ABX10" s="20"/>
      <c r="ABY10" s="20"/>
      <c r="ABZ10" s="20"/>
      <c r="ACA10" s="20"/>
      <c r="ACB10" s="20"/>
      <c r="ACC10" s="20"/>
      <c r="ACD10" s="20"/>
      <c r="ACE10" s="20"/>
      <c r="ACF10" s="20"/>
      <c r="ACG10" s="20"/>
      <c r="ACH10" s="20"/>
      <c r="ACI10" s="20"/>
      <c r="ACJ10" s="20"/>
      <c r="ACK10" s="20"/>
      <c r="ACL10" s="20"/>
      <c r="ACM10" s="20"/>
      <c r="ACN10" s="20"/>
      <c r="ACO10" s="20"/>
      <c r="ACP10" s="20"/>
      <c r="ACQ10" s="20"/>
      <c r="ACR10" s="20"/>
      <c r="ACS10" s="20"/>
      <c r="ACT10" s="20"/>
      <c r="ACU10" s="20"/>
      <c r="ACV10" s="20"/>
      <c r="ACW10" s="20"/>
      <c r="ACX10" s="20"/>
      <c r="ACY10" s="20"/>
      <c r="ACZ10" s="20"/>
      <c r="ADA10" s="20"/>
      <c r="ADB10" s="20"/>
      <c r="ADC10" s="20"/>
      <c r="ADD10" s="20"/>
      <c r="ADE10" s="20"/>
      <c r="ADF10" s="20"/>
      <c r="ADG10" s="20"/>
      <c r="ADH10" s="20"/>
      <c r="ADI10" s="20"/>
      <c r="ADJ10" s="20"/>
      <c r="ADK10" s="20"/>
      <c r="ADL10" s="20"/>
      <c r="ADM10" s="20"/>
      <c r="ADN10" s="20"/>
      <c r="ADO10" s="20"/>
      <c r="ADP10" s="20"/>
      <c r="ADQ10" s="20"/>
      <c r="ADR10" s="20"/>
      <c r="ADS10" s="20"/>
      <c r="ADT10" s="20"/>
      <c r="ADU10" s="20"/>
      <c r="ADV10" s="20"/>
      <c r="ADW10" s="20"/>
      <c r="ADX10" s="20"/>
      <c r="ADY10" s="20"/>
      <c r="ADZ10" s="20"/>
      <c r="AEA10" s="20"/>
      <c r="AEB10" s="20"/>
      <c r="AEC10" s="20"/>
      <c r="AED10" s="20"/>
      <c r="AEE10" s="20"/>
      <c r="AEF10" s="20"/>
      <c r="AEG10" s="20"/>
      <c r="AEH10" s="20"/>
      <c r="AEI10" s="20"/>
      <c r="AEJ10" s="20"/>
      <c r="AEK10" s="20"/>
      <c r="AEL10" s="20"/>
      <c r="AEM10" s="20"/>
      <c r="AEN10" s="20"/>
      <c r="AEO10" s="20"/>
      <c r="AEP10" s="20"/>
      <c r="AEQ10" s="20"/>
      <c r="AER10" s="20"/>
      <c r="AES10" s="20"/>
      <c r="AET10" s="20"/>
      <c r="AEU10" s="20"/>
      <c r="AEV10" s="20"/>
      <c r="AEW10" s="20"/>
      <c r="AEX10" s="20"/>
      <c r="AEY10" s="20"/>
      <c r="AEZ10" s="20"/>
      <c r="AFA10" s="20"/>
      <c r="AFB10" s="20"/>
      <c r="AFC10" s="20"/>
      <c r="AFD10" s="20"/>
      <c r="AFE10" s="20"/>
      <c r="AFF10" s="20"/>
      <c r="AFG10" s="20"/>
      <c r="AFH10" s="20"/>
      <c r="AFI10" s="20"/>
      <c r="AFJ10" s="20"/>
      <c r="AFK10" s="20"/>
      <c r="AFL10" s="20"/>
      <c r="AFM10" s="20"/>
      <c r="AFN10" s="20"/>
      <c r="AFO10" s="20"/>
      <c r="AFP10" s="20"/>
      <c r="AFQ10" s="20"/>
      <c r="AFR10" s="20"/>
      <c r="AFS10" s="20"/>
      <c r="AFT10" s="20"/>
      <c r="AFU10" s="20"/>
      <c r="AFV10" s="20"/>
      <c r="AFW10" s="20"/>
      <c r="AFX10" s="20"/>
      <c r="AFY10" s="20"/>
      <c r="AFZ10" s="20"/>
      <c r="AGA10" s="20"/>
      <c r="AGB10" s="20"/>
      <c r="AGC10" s="20"/>
      <c r="AGD10" s="20"/>
      <c r="AGE10" s="20"/>
      <c r="AGF10" s="20"/>
      <c r="AGG10" s="20"/>
      <c r="AGH10" s="20"/>
      <c r="AGI10" s="20"/>
      <c r="AGJ10" s="20"/>
      <c r="AGK10" s="20"/>
      <c r="AGL10" s="20"/>
      <c r="AGM10" s="20"/>
      <c r="AGN10" s="20"/>
      <c r="AGO10" s="20"/>
      <c r="AGP10" s="20"/>
      <c r="AGQ10" s="20"/>
      <c r="AGR10" s="20"/>
      <c r="AGS10" s="20"/>
      <c r="AGT10" s="20"/>
      <c r="AGU10" s="20"/>
      <c r="AGV10" s="20"/>
      <c r="AGW10" s="20"/>
      <c r="AGX10" s="20"/>
      <c r="AGY10" s="20"/>
      <c r="AGZ10" s="20"/>
      <c r="AHA10" s="20"/>
      <c r="AHB10" s="20"/>
      <c r="AHC10" s="20"/>
      <c r="AHD10" s="20"/>
      <c r="AHE10" s="20"/>
      <c r="AHF10" s="20"/>
      <c r="AHG10" s="20"/>
      <c r="AHH10" s="20"/>
      <c r="AHI10" s="20"/>
      <c r="AHJ10" s="20"/>
      <c r="AHK10" s="20"/>
      <c r="AHL10" s="20"/>
      <c r="AHM10" s="20"/>
      <c r="AHN10" s="20"/>
      <c r="AHO10" s="20"/>
      <c r="AHP10" s="20"/>
      <c r="AHQ10" s="20"/>
      <c r="AHR10" s="20"/>
      <c r="AHS10" s="20"/>
      <c r="AHT10" s="20"/>
      <c r="AHU10" s="20"/>
      <c r="AHV10" s="20"/>
      <c r="AHW10" s="20"/>
      <c r="AHX10" s="20"/>
      <c r="AHY10" s="20"/>
      <c r="AHZ10" s="20"/>
      <c r="AIA10" s="20"/>
      <c r="AIB10" s="20"/>
      <c r="AIC10" s="20"/>
      <c r="AID10" s="20"/>
      <c r="AIE10" s="20"/>
      <c r="AIF10" s="20"/>
      <c r="AIG10" s="20"/>
      <c r="AIH10" s="20"/>
      <c r="AII10" s="20"/>
      <c r="AIJ10" s="20"/>
      <c r="AIK10" s="20"/>
      <c r="AIL10" s="20"/>
      <c r="AIM10" s="20"/>
      <c r="AIN10" s="20"/>
      <c r="AIO10" s="20"/>
      <c r="AIP10" s="20"/>
      <c r="AIQ10" s="20"/>
      <c r="AIR10" s="20"/>
      <c r="AIS10" s="20"/>
      <c r="AIT10" s="20"/>
      <c r="AIU10" s="20"/>
      <c r="AIV10" s="20"/>
      <c r="AIW10" s="20"/>
      <c r="AIX10" s="20"/>
      <c r="AIY10" s="20"/>
      <c r="AIZ10" s="20"/>
      <c r="AJA10" s="20"/>
      <c r="AJB10" s="20"/>
      <c r="AJC10" s="20"/>
      <c r="AJD10" s="20"/>
      <c r="AJE10" s="20"/>
      <c r="AJF10" s="20"/>
      <c r="AJG10" s="20"/>
      <c r="AJH10" s="20"/>
      <c r="AJI10" s="20"/>
      <c r="AJJ10" s="20"/>
      <c r="AJK10" s="20"/>
      <c r="AJL10" s="20"/>
      <c r="AJM10" s="20"/>
      <c r="AJN10" s="20"/>
      <c r="AJO10" s="20"/>
      <c r="AJP10" s="20"/>
      <c r="AJQ10" s="20"/>
      <c r="AJR10" s="20"/>
      <c r="AJS10" s="20"/>
      <c r="AJT10" s="20"/>
      <c r="AJU10" s="20"/>
      <c r="AJV10" s="20"/>
      <c r="AJW10" s="20"/>
      <c r="AJX10" s="20"/>
      <c r="AJY10" s="20"/>
      <c r="AJZ10" s="20"/>
      <c r="AKA10" s="20"/>
      <c r="AKB10" s="20"/>
      <c r="AKC10" s="20"/>
      <c r="AKD10" s="20"/>
      <c r="AKE10" s="20"/>
      <c r="AKF10" s="20"/>
      <c r="AKG10" s="20"/>
      <c r="AKH10" s="20"/>
      <c r="AKI10" s="20"/>
      <c r="AKJ10" s="20"/>
      <c r="AKK10" s="20"/>
      <c r="AKL10" s="20"/>
      <c r="AKM10" s="20"/>
      <c r="AKN10" s="20"/>
      <c r="AKO10" s="20"/>
      <c r="AKP10" s="20"/>
      <c r="AKQ10" s="20"/>
      <c r="AKR10" s="20"/>
      <c r="AKS10" s="20"/>
      <c r="AKT10" s="20"/>
      <c r="AKU10" s="20"/>
      <c r="AKV10" s="20"/>
      <c r="AKW10" s="20"/>
      <c r="AKX10" s="20"/>
      <c r="AKY10" s="20"/>
      <c r="AKZ10" s="20"/>
      <c r="ALA10" s="20"/>
      <c r="ALB10" s="20"/>
      <c r="ALC10" s="20"/>
      <c r="ALD10" s="20"/>
      <c r="ALE10" s="20"/>
      <c r="ALF10" s="20"/>
      <c r="ALG10" s="20"/>
      <c r="ALH10" s="20"/>
      <c r="ALI10" s="20"/>
      <c r="ALJ10" s="20"/>
      <c r="ALK10" s="20"/>
      <c r="ALL10" s="20"/>
      <c r="ALM10" s="20"/>
      <c r="ALN10" s="20"/>
      <c r="ALO10" s="20"/>
      <c r="ALP10" s="20"/>
      <c r="ALQ10" s="20"/>
      <c r="ALR10" s="20"/>
      <c r="ALS10" s="20"/>
      <c r="ALT10" s="20"/>
      <c r="ALU10" s="20"/>
      <c r="ALV10" s="20"/>
      <c r="ALW10" s="20"/>
      <c r="ALX10" s="20"/>
      <c r="ALY10" s="20"/>
      <c r="ALZ10" s="20"/>
      <c r="AMA10" s="20"/>
      <c r="AMB10" s="20"/>
      <c r="AMC10" s="20"/>
      <c r="AMD10" s="20"/>
      <c r="AME10" s="20"/>
      <c r="AMF10" s="20"/>
      <c r="AMG10" s="20"/>
      <c r="AMH10" s="20"/>
      <c r="AMI10" s="20"/>
      <c r="AMJ10" s="20"/>
      <c r="AMK10" s="20"/>
      <c r="AML10" s="20"/>
      <c r="AMM10" s="20"/>
      <c r="AMN10" s="20"/>
      <c r="AMO10" s="20"/>
      <c r="AMP10" s="20"/>
      <c r="AMQ10" s="20"/>
      <c r="AMR10" s="20"/>
      <c r="AMS10" s="20"/>
      <c r="AMT10" s="20"/>
      <c r="AMU10" s="20"/>
      <c r="AMV10" s="20"/>
      <c r="AMW10" s="20"/>
      <c r="AMX10" s="20"/>
      <c r="AMY10" s="20"/>
      <c r="AMZ10" s="20"/>
      <c r="ANA10" s="20"/>
      <c r="ANB10" s="20"/>
      <c r="ANC10" s="20"/>
      <c r="AND10" s="20"/>
      <c r="ANE10" s="20"/>
      <c r="ANF10" s="20"/>
      <c r="ANG10" s="20"/>
      <c r="ANH10" s="20"/>
      <c r="ANI10" s="20"/>
      <c r="ANJ10" s="20"/>
      <c r="ANK10" s="20"/>
      <c r="ANL10" s="20"/>
      <c r="ANM10" s="20"/>
      <c r="ANN10" s="20"/>
      <c r="ANO10" s="20"/>
      <c r="ANP10" s="20"/>
      <c r="ANQ10" s="20"/>
      <c r="ANR10" s="20"/>
      <c r="ANS10" s="20"/>
      <c r="ANT10" s="20"/>
      <c r="ANU10" s="20"/>
      <c r="ANV10" s="20"/>
      <c r="ANW10" s="20"/>
      <c r="ANX10" s="20"/>
      <c r="ANY10" s="20"/>
      <c r="ANZ10" s="20"/>
      <c r="AOA10" s="20"/>
      <c r="AOB10" s="20"/>
      <c r="AOC10" s="20"/>
      <c r="AOD10" s="20"/>
      <c r="AOE10" s="20"/>
      <c r="AOF10" s="20"/>
      <c r="AOG10" s="20"/>
      <c r="AOH10" s="20"/>
      <c r="AOI10" s="20"/>
      <c r="AOJ10" s="20"/>
      <c r="AOK10" s="20"/>
      <c r="AOL10" s="20"/>
      <c r="AOM10" s="20"/>
      <c r="AON10" s="20"/>
      <c r="AOO10" s="20"/>
      <c r="AOP10" s="20"/>
      <c r="AOQ10" s="20"/>
      <c r="AOR10" s="20"/>
      <c r="AOS10" s="20"/>
      <c r="AOT10" s="20"/>
      <c r="AOU10" s="20"/>
      <c r="AOV10" s="20"/>
      <c r="AOW10" s="20"/>
      <c r="AOX10" s="20"/>
      <c r="AOY10" s="20"/>
      <c r="AOZ10" s="20"/>
      <c r="APA10" s="20"/>
      <c r="APB10" s="20"/>
      <c r="APC10" s="20"/>
      <c r="APD10" s="20"/>
      <c r="APE10" s="20"/>
      <c r="APF10" s="20"/>
      <c r="APG10" s="20"/>
      <c r="APH10" s="20"/>
      <c r="API10" s="20"/>
      <c r="APJ10" s="20"/>
      <c r="APK10" s="20"/>
      <c r="APL10" s="20"/>
      <c r="APM10" s="20"/>
      <c r="APN10" s="20"/>
      <c r="APO10" s="20"/>
      <c r="APP10" s="20"/>
      <c r="APQ10" s="20"/>
      <c r="APR10" s="20"/>
      <c r="APS10" s="20"/>
      <c r="APT10" s="20"/>
      <c r="APU10" s="20"/>
      <c r="APV10" s="20"/>
      <c r="APW10" s="20"/>
      <c r="APX10" s="20"/>
      <c r="APY10" s="20"/>
      <c r="APZ10" s="20"/>
      <c r="AQA10" s="20"/>
      <c r="AQB10" s="20"/>
      <c r="AQC10" s="20"/>
      <c r="AQD10" s="20"/>
      <c r="AQE10" s="20"/>
      <c r="AQF10" s="20"/>
      <c r="AQG10" s="20"/>
      <c r="AQH10" s="20"/>
      <c r="AQI10" s="20"/>
      <c r="AQJ10" s="20"/>
      <c r="AQK10" s="20"/>
      <c r="AQL10" s="20"/>
      <c r="AQM10" s="20"/>
      <c r="AQN10" s="20"/>
      <c r="AQO10" s="20"/>
      <c r="AQP10" s="20"/>
      <c r="AQQ10" s="20"/>
      <c r="AQR10" s="20"/>
      <c r="AQS10" s="20"/>
      <c r="AQT10" s="20"/>
      <c r="AQU10" s="20"/>
      <c r="AQV10" s="20"/>
      <c r="AQW10" s="20"/>
      <c r="AQX10" s="20"/>
      <c r="AQY10" s="20"/>
      <c r="AQZ10" s="20"/>
      <c r="ARA10" s="20"/>
      <c r="ARB10" s="20"/>
      <c r="ARC10" s="20"/>
      <c r="ARD10" s="20"/>
      <c r="ARE10" s="20"/>
      <c r="ARF10" s="20"/>
      <c r="ARG10" s="20"/>
      <c r="ARH10" s="20"/>
      <c r="ARI10" s="20"/>
      <c r="ARJ10" s="20"/>
      <c r="ARK10" s="20"/>
      <c r="ARL10" s="20"/>
      <c r="ARM10" s="20"/>
      <c r="ARN10" s="20"/>
      <c r="ARO10" s="20"/>
      <c r="ARP10" s="20"/>
      <c r="ARQ10" s="20"/>
      <c r="ARR10" s="20"/>
      <c r="ARS10" s="20"/>
      <c r="ART10" s="20"/>
      <c r="ARU10" s="20"/>
      <c r="ARV10" s="20"/>
      <c r="ARW10" s="20"/>
      <c r="ARX10" s="20"/>
      <c r="ARY10" s="20"/>
      <c r="ARZ10" s="20"/>
      <c r="ASA10" s="20"/>
      <c r="ASB10" s="20"/>
      <c r="ASC10" s="20"/>
      <c r="ASD10" s="20"/>
      <c r="ASE10" s="20"/>
      <c r="ASF10" s="20"/>
      <c r="ASG10" s="20"/>
      <c r="ASH10" s="20"/>
      <c r="ASI10" s="20"/>
      <c r="ASJ10" s="20"/>
      <c r="ASK10" s="20"/>
      <c r="ASL10" s="20"/>
      <c r="ASM10" s="20"/>
      <c r="ASN10" s="20"/>
      <c r="ASO10" s="20"/>
      <c r="ASP10" s="20"/>
      <c r="ASQ10" s="20"/>
      <c r="ASR10" s="20"/>
      <c r="ASS10" s="20"/>
      <c r="AST10" s="20"/>
      <c r="ASU10" s="20"/>
      <c r="ASV10" s="20"/>
      <c r="ASW10" s="20"/>
      <c r="ASX10" s="20"/>
      <c r="ASY10" s="20"/>
      <c r="ASZ10" s="20"/>
      <c r="ATA10" s="20"/>
      <c r="ATB10" s="20"/>
      <c r="ATC10" s="20"/>
      <c r="ATD10" s="20"/>
      <c r="ATE10" s="20"/>
      <c r="ATF10" s="20"/>
      <c r="ATG10" s="20"/>
      <c r="ATH10" s="20"/>
      <c r="ATI10" s="20"/>
      <c r="ATJ10" s="20"/>
      <c r="ATK10" s="20"/>
      <c r="ATL10" s="20"/>
      <c r="ATM10" s="20"/>
      <c r="ATN10" s="20"/>
      <c r="ATO10" s="20"/>
      <c r="ATP10" s="20"/>
      <c r="ATQ10" s="20"/>
      <c r="ATR10" s="20"/>
      <c r="ATS10" s="20"/>
      <c r="ATT10" s="20"/>
      <c r="ATU10" s="20"/>
      <c r="ATV10" s="20"/>
      <c r="ATW10" s="20"/>
      <c r="ATX10" s="20"/>
      <c r="ATY10" s="20"/>
      <c r="ATZ10" s="20"/>
      <c r="AUA10" s="20"/>
      <c r="AUB10" s="20"/>
      <c r="AUC10" s="20"/>
      <c r="AUD10" s="20"/>
      <c r="AUE10" s="20"/>
      <c r="AUF10" s="20"/>
      <c r="AUG10" s="20"/>
      <c r="AUH10" s="20"/>
      <c r="AUI10" s="20"/>
      <c r="AUJ10" s="20"/>
      <c r="AUK10" s="20"/>
      <c r="AUL10" s="20"/>
      <c r="AUM10" s="20"/>
      <c r="AUN10" s="20"/>
      <c r="AUO10" s="20"/>
      <c r="AUP10" s="20"/>
      <c r="AUQ10" s="20"/>
      <c r="AUR10" s="20"/>
      <c r="AUS10" s="20"/>
      <c r="AUT10" s="20"/>
      <c r="AUU10" s="20"/>
      <c r="AUV10" s="20"/>
      <c r="AUW10" s="20"/>
      <c r="AUX10" s="20"/>
      <c r="AUY10" s="20"/>
      <c r="AUZ10" s="20"/>
      <c r="AVA10" s="20"/>
      <c r="AVB10" s="20"/>
      <c r="AVC10" s="20"/>
      <c r="AVD10" s="20"/>
      <c r="AVE10" s="20"/>
      <c r="AVF10" s="20"/>
      <c r="AVG10" s="20"/>
      <c r="AVH10" s="20"/>
      <c r="AVI10" s="20"/>
      <c r="AVJ10" s="20"/>
      <c r="AVK10" s="20"/>
      <c r="AVL10" s="20"/>
      <c r="AVM10" s="20"/>
      <c r="AVN10" s="20"/>
      <c r="AVO10" s="20"/>
      <c r="AVP10" s="20"/>
      <c r="AVQ10" s="20"/>
      <c r="AVR10" s="20"/>
      <c r="AVS10" s="20"/>
      <c r="AVT10" s="20"/>
      <c r="AVU10" s="20"/>
      <c r="AVV10" s="20"/>
      <c r="AVW10" s="20"/>
      <c r="AVX10" s="20"/>
      <c r="AVY10" s="20"/>
      <c r="AVZ10" s="20"/>
      <c r="AWA10" s="20"/>
      <c r="AWB10" s="20"/>
      <c r="AWC10" s="20"/>
      <c r="AWD10" s="20"/>
      <c r="AWE10" s="20"/>
      <c r="AWF10" s="20"/>
      <c r="AWG10" s="20"/>
      <c r="AWH10" s="20"/>
      <c r="AWI10" s="20"/>
      <c r="AWJ10" s="20"/>
      <c r="AWK10" s="20"/>
      <c r="AWL10" s="20"/>
      <c r="AWM10" s="20"/>
      <c r="AWN10" s="20"/>
      <c r="AWO10" s="20"/>
      <c r="AWP10" s="20"/>
      <c r="AWQ10" s="20"/>
      <c r="AWR10" s="20"/>
      <c r="AWS10" s="20"/>
      <c r="AWT10" s="20"/>
      <c r="AWU10" s="20"/>
      <c r="AWV10" s="20"/>
      <c r="AWW10" s="20"/>
      <c r="AWX10" s="20"/>
      <c r="AWY10" s="20"/>
      <c r="AWZ10" s="20"/>
      <c r="AXA10" s="20"/>
      <c r="AXB10" s="20"/>
      <c r="AXC10" s="20"/>
      <c r="AXD10" s="20"/>
      <c r="AXE10" s="20"/>
      <c r="AXF10" s="20"/>
      <c r="AXG10" s="20"/>
      <c r="AXH10" s="20"/>
      <c r="AXI10" s="20"/>
      <c r="AXJ10" s="20"/>
      <c r="AXK10" s="20"/>
      <c r="AXL10" s="20"/>
      <c r="AXM10" s="20"/>
      <c r="AXN10" s="20"/>
      <c r="AXO10" s="20"/>
      <c r="AXP10" s="20"/>
      <c r="AXQ10" s="20"/>
      <c r="AXR10" s="20"/>
      <c r="AXS10" s="20"/>
      <c r="AXT10" s="20"/>
      <c r="AXU10" s="20"/>
      <c r="AXV10" s="20"/>
      <c r="AXW10" s="20"/>
      <c r="AXX10" s="20"/>
      <c r="AXY10" s="20"/>
      <c r="AXZ10" s="20"/>
      <c r="AYA10" s="20"/>
      <c r="AYB10" s="20"/>
      <c r="AYC10" s="20"/>
      <c r="AYD10" s="20"/>
      <c r="AYE10" s="20"/>
      <c r="AYF10" s="20"/>
      <c r="AYG10" s="20"/>
      <c r="AYH10" s="20"/>
      <c r="AYI10" s="20"/>
      <c r="AYJ10" s="20"/>
      <c r="AYK10" s="20"/>
      <c r="AYL10" s="20"/>
      <c r="AYM10" s="20"/>
      <c r="AYN10" s="20"/>
      <c r="AYO10" s="20"/>
      <c r="AYP10" s="20"/>
      <c r="AYQ10" s="20"/>
      <c r="AYR10" s="20"/>
      <c r="AYS10" s="20"/>
      <c r="AYT10" s="20"/>
      <c r="AYU10" s="20"/>
      <c r="AYV10" s="20"/>
      <c r="AYW10" s="20"/>
      <c r="AYX10" s="20"/>
      <c r="AYY10" s="20"/>
      <c r="AYZ10" s="20"/>
      <c r="AZA10" s="20"/>
      <c r="AZB10" s="20"/>
      <c r="AZC10" s="20"/>
      <c r="AZD10" s="20"/>
      <c r="AZE10" s="20"/>
      <c r="AZF10" s="20"/>
      <c r="AZG10" s="20"/>
      <c r="AZH10" s="20"/>
      <c r="AZI10" s="20"/>
      <c r="AZJ10" s="20"/>
      <c r="AZK10" s="20"/>
      <c r="AZL10" s="20"/>
      <c r="AZM10" s="20"/>
      <c r="AZN10" s="20"/>
      <c r="AZO10" s="20"/>
      <c r="AZP10" s="20"/>
      <c r="AZQ10" s="20"/>
      <c r="AZR10" s="20"/>
      <c r="AZS10" s="20"/>
      <c r="AZT10" s="20"/>
      <c r="AZU10" s="20"/>
      <c r="AZV10" s="20"/>
      <c r="AZW10" s="20"/>
      <c r="AZX10" s="20"/>
      <c r="AZY10" s="20"/>
      <c r="AZZ10" s="20"/>
      <c r="BAA10" s="20"/>
      <c r="BAB10" s="20"/>
      <c r="BAC10" s="20"/>
      <c r="BAD10" s="20"/>
      <c r="BAE10" s="20"/>
      <c r="BAF10" s="20"/>
      <c r="BAG10" s="20"/>
      <c r="BAH10" s="20"/>
      <c r="BAI10" s="20"/>
      <c r="BAJ10" s="20"/>
      <c r="BAK10" s="20"/>
      <c r="BAL10" s="20"/>
      <c r="BAM10" s="20"/>
      <c r="BAN10" s="20"/>
      <c r="BAO10" s="20"/>
      <c r="BAP10" s="20"/>
      <c r="BAQ10" s="20"/>
      <c r="BAR10" s="20"/>
      <c r="BAS10" s="20"/>
      <c r="BAT10" s="20"/>
      <c r="BAU10" s="20"/>
      <c r="BAV10" s="20"/>
      <c r="BAW10" s="20"/>
      <c r="BAX10" s="20"/>
      <c r="BAY10" s="20"/>
      <c r="BAZ10" s="20"/>
      <c r="BBA10" s="20"/>
      <c r="BBB10" s="20"/>
      <c r="BBC10" s="20"/>
      <c r="BBD10" s="20"/>
      <c r="BBE10" s="20"/>
      <c r="BBF10" s="20"/>
      <c r="BBG10" s="20"/>
      <c r="BBH10" s="20"/>
      <c r="BBI10" s="20"/>
      <c r="BBJ10" s="20"/>
      <c r="BBK10" s="20"/>
      <c r="BBL10" s="20"/>
      <c r="BBM10" s="20"/>
      <c r="BBN10" s="20"/>
      <c r="BBO10" s="20"/>
      <c r="BBP10" s="20"/>
      <c r="BBQ10" s="20"/>
      <c r="BBR10" s="20"/>
      <c r="BBS10" s="20"/>
      <c r="BBT10" s="20"/>
      <c r="BBU10" s="20"/>
      <c r="BBV10" s="20"/>
      <c r="BBW10" s="20"/>
      <c r="BBX10" s="20"/>
      <c r="BBY10" s="20"/>
      <c r="BBZ10" s="20"/>
      <c r="BCA10" s="20"/>
      <c r="BCB10" s="20"/>
      <c r="BCC10" s="20"/>
      <c r="BCD10" s="20"/>
      <c r="BCE10" s="20"/>
      <c r="BCF10" s="20"/>
      <c r="BCG10" s="20"/>
      <c r="BCH10" s="20"/>
      <c r="BCI10" s="20"/>
      <c r="BCJ10" s="20"/>
      <c r="BCK10" s="20"/>
      <c r="BCL10" s="20"/>
      <c r="BCM10" s="20"/>
      <c r="BCN10" s="20"/>
      <c r="BCO10" s="20"/>
      <c r="BCP10" s="20"/>
      <c r="BCQ10" s="20"/>
      <c r="BCR10" s="20"/>
      <c r="BCS10" s="20"/>
      <c r="BCT10" s="20"/>
      <c r="BCU10" s="20"/>
      <c r="BCV10" s="20"/>
      <c r="BCW10" s="20"/>
      <c r="BCX10" s="20"/>
      <c r="BCY10" s="20"/>
      <c r="BCZ10" s="20"/>
      <c r="BDA10" s="20"/>
      <c r="BDB10" s="20"/>
      <c r="BDC10" s="20"/>
      <c r="BDD10" s="20"/>
      <c r="BDE10" s="20"/>
      <c r="BDF10" s="20"/>
      <c r="BDG10" s="20"/>
      <c r="BDH10" s="20"/>
      <c r="BDI10" s="20"/>
      <c r="BDJ10" s="20"/>
      <c r="BDK10" s="20"/>
      <c r="BDL10" s="20"/>
      <c r="BDM10" s="20"/>
      <c r="BDN10" s="20"/>
      <c r="BDO10" s="20"/>
      <c r="BDP10" s="20"/>
      <c r="BDQ10" s="20"/>
      <c r="BDR10" s="20"/>
      <c r="BDS10" s="20"/>
      <c r="BDT10" s="20"/>
      <c r="BDU10" s="20"/>
      <c r="BDV10" s="20"/>
      <c r="BDW10" s="20"/>
      <c r="BDX10" s="20"/>
      <c r="BDY10" s="20"/>
      <c r="BDZ10" s="20"/>
      <c r="BEA10" s="20"/>
      <c r="BEB10" s="20"/>
      <c r="BEC10" s="20"/>
      <c r="BED10" s="20"/>
      <c r="BEE10" s="20"/>
      <c r="BEF10" s="20"/>
      <c r="BEG10" s="20"/>
      <c r="BEH10" s="20"/>
      <c r="BEI10" s="20"/>
      <c r="BEJ10" s="20"/>
      <c r="BEK10" s="20"/>
      <c r="BEL10" s="20"/>
      <c r="BEM10" s="20"/>
      <c r="BEN10" s="20"/>
      <c r="BEO10" s="20"/>
      <c r="BEP10" s="20"/>
      <c r="BEQ10" s="20"/>
      <c r="BER10" s="20"/>
      <c r="BES10" s="20"/>
      <c r="BET10" s="20"/>
      <c r="BEU10" s="20"/>
      <c r="BEV10" s="20"/>
      <c r="BEW10" s="20"/>
      <c r="BEX10" s="20"/>
      <c r="BEY10" s="20"/>
      <c r="BEZ10" s="20"/>
      <c r="BFA10" s="20"/>
      <c r="BFB10" s="20"/>
      <c r="BFC10" s="20"/>
      <c r="BFD10" s="20"/>
      <c r="BFE10" s="20"/>
      <c r="BFF10" s="20"/>
      <c r="BFG10" s="20"/>
      <c r="BFH10" s="20"/>
      <c r="BFI10" s="20"/>
      <c r="BFJ10" s="20"/>
      <c r="BFK10" s="20"/>
      <c r="BFL10" s="20"/>
      <c r="BFM10" s="20"/>
      <c r="BFN10" s="20"/>
      <c r="BFO10" s="20"/>
      <c r="BFP10" s="20"/>
      <c r="BFQ10" s="20"/>
      <c r="BFR10" s="20"/>
      <c r="BFS10" s="20"/>
      <c r="BFT10" s="20"/>
      <c r="BFU10" s="20"/>
      <c r="BFV10" s="20"/>
      <c r="BFW10" s="20"/>
      <c r="BFX10" s="20"/>
      <c r="BFY10" s="20"/>
      <c r="BFZ10" s="20"/>
      <c r="BGA10" s="20"/>
      <c r="BGB10" s="20"/>
      <c r="BGC10" s="20"/>
      <c r="BGD10" s="20"/>
      <c r="BGE10" s="20"/>
      <c r="BGF10" s="20"/>
      <c r="BGG10" s="20"/>
      <c r="BGH10" s="20"/>
      <c r="BGI10" s="20"/>
      <c r="BGJ10" s="20"/>
      <c r="BGK10" s="20"/>
      <c r="BGL10" s="20"/>
      <c r="BGM10" s="20"/>
      <c r="BGN10" s="20"/>
      <c r="BGO10" s="20"/>
      <c r="BGP10" s="20"/>
      <c r="BGQ10" s="20"/>
      <c r="BGR10" s="20"/>
      <c r="BGS10" s="20"/>
      <c r="BGT10" s="20"/>
      <c r="BGU10" s="20"/>
      <c r="BGV10" s="20"/>
      <c r="BGW10" s="20"/>
      <c r="BGX10" s="20"/>
      <c r="BGY10" s="20"/>
      <c r="BGZ10" s="20"/>
      <c r="BHA10" s="20"/>
      <c r="BHB10" s="20"/>
      <c r="BHC10" s="20"/>
      <c r="BHD10" s="20"/>
      <c r="BHE10" s="20"/>
      <c r="BHF10" s="20"/>
      <c r="BHG10" s="20"/>
      <c r="BHH10" s="20"/>
      <c r="BHI10" s="20"/>
      <c r="BHJ10" s="20"/>
      <c r="BHK10" s="20"/>
      <c r="BHL10" s="20"/>
      <c r="BHM10" s="20"/>
      <c r="BHN10" s="20"/>
      <c r="BHO10" s="20"/>
      <c r="BHP10" s="20"/>
      <c r="BHQ10" s="20"/>
      <c r="BHR10" s="20"/>
      <c r="BHS10" s="20"/>
      <c r="BHT10" s="20"/>
      <c r="BHU10" s="20"/>
      <c r="BHV10" s="20"/>
      <c r="BHW10" s="20"/>
      <c r="BHX10" s="20"/>
      <c r="BHY10" s="20"/>
      <c r="BHZ10" s="20"/>
      <c r="BIA10" s="20"/>
      <c r="BIB10" s="20"/>
      <c r="BIC10" s="20"/>
      <c r="BID10" s="20"/>
      <c r="BIE10" s="20"/>
      <c r="BIF10" s="20"/>
      <c r="BIG10" s="20"/>
      <c r="BIH10" s="20"/>
      <c r="BII10" s="20"/>
      <c r="BIJ10" s="20"/>
      <c r="BIK10" s="20"/>
      <c r="BIL10" s="20"/>
      <c r="BIM10" s="20"/>
      <c r="BIN10" s="20"/>
      <c r="BIO10" s="20"/>
      <c r="BIP10" s="20"/>
      <c r="BIQ10" s="20"/>
      <c r="BIR10" s="20"/>
      <c r="BIS10" s="20"/>
      <c r="BIT10" s="20"/>
      <c r="BIU10" s="20"/>
      <c r="BIV10" s="20"/>
      <c r="BIW10" s="20"/>
      <c r="BIX10" s="20"/>
      <c r="BIY10" s="20"/>
      <c r="BIZ10" s="20"/>
      <c r="BJA10" s="20"/>
      <c r="BJB10" s="20"/>
      <c r="BJC10" s="20"/>
      <c r="BJD10" s="20"/>
      <c r="BJE10" s="20"/>
      <c r="BJF10" s="20"/>
      <c r="BJG10" s="20"/>
      <c r="BJH10" s="20"/>
      <c r="BJI10" s="20"/>
      <c r="BJJ10" s="20"/>
      <c r="BJK10" s="20"/>
      <c r="BJL10" s="20"/>
      <c r="BJM10" s="20"/>
      <c r="BJN10" s="20"/>
      <c r="BJO10" s="20"/>
      <c r="BJP10" s="20"/>
      <c r="BJQ10" s="20"/>
      <c r="BJR10" s="20"/>
      <c r="BJS10" s="20"/>
      <c r="BJT10" s="20"/>
      <c r="BJU10" s="20"/>
      <c r="BJV10" s="20"/>
      <c r="BJW10" s="20"/>
      <c r="BJX10" s="20"/>
      <c r="BJY10" s="20"/>
      <c r="BJZ10" s="20"/>
      <c r="BKA10" s="20"/>
      <c r="BKB10" s="20"/>
      <c r="BKC10" s="20"/>
      <c r="BKD10" s="20"/>
      <c r="BKE10" s="20"/>
      <c r="BKF10" s="20"/>
      <c r="BKG10" s="20"/>
      <c r="BKH10" s="20"/>
      <c r="BKI10" s="20"/>
      <c r="BKJ10" s="20"/>
      <c r="BKK10" s="20"/>
      <c r="BKL10" s="20"/>
      <c r="BKM10" s="20"/>
      <c r="BKN10" s="20"/>
      <c r="BKO10" s="20"/>
      <c r="BKP10" s="20"/>
      <c r="BKQ10" s="20"/>
      <c r="BKR10" s="20"/>
      <c r="BKS10" s="20"/>
      <c r="BKT10" s="20"/>
      <c r="BKU10" s="20"/>
      <c r="BKV10" s="20"/>
      <c r="BKW10" s="20"/>
      <c r="BKX10" s="20"/>
      <c r="BKY10" s="20"/>
      <c r="BKZ10" s="20"/>
      <c r="BLA10" s="20"/>
      <c r="BLB10" s="20"/>
      <c r="BLC10" s="20"/>
      <c r="BLD10" s="20"/>
      <c r="BLE10" s="20"/>
      <c r="BLF10" s="20"/>
      <c r="BLG10" s="20"/>
      <c r="BLH10" s="20"/>
      <c r="BLI10" s="20"/>
      <c r="BLJ10" s="20"/>
      <c r="BLK10" s="20"/>
      <c r="BLL10" s="20"/>
      <c r="BLM10" s="20"/>
      <c r="BLN10" s="20"/>
      <c r="BLO10" s="20"/>
      <c r="BLP10" s="20"/>
      <c r="BLQ10" s="20"/>
      <c r="BLR10" s="20"/>
      <c r="BLS10" s="20"/>
      <c r="BLT10" s="20"/>
      <c r="BLU10" s="20"/>
      <c r="BLV10" s="20"/>
      <c r="BLW10" s="20"/>
      <c r="BLX10" s="20"/>
      <c r="BLY10" s="20"/>
      <c r="BLZ10" s="20"/>
      <c r="BMA10" s="20"/>
      <c r="BMB10" s="20"/>
      <c r="BMC10" s="20"/>
      <c r="BMD10" s="20"/>
      <c r="BME10" s="20"/>
      <c r="BMF10" s="20"/>
      <c r="BMG10" s="20"/>
      <c r="BMH10" s="20"/>
      <c r="BMI10" s="20"/>
      <c r="BMJ10" s="20"/>
      <c r="BMK10" s="20"/>
      <c r="BML10" s="20"/>
      <c r="BMM10" s="20"/>
      <c r="BMN10" s="20"/>
      <c r="BMO10" s="20"/>
      <c r="BMP10" s="20"/>
      <c r="BMQ10" s="20"/>
      <c r="BMR10" s="20"/>
      <c r="BMS10" s="20"/>
      <c r="BMT10" s="20"/>
      <c r="BMU10" s="20"/>
      <c r="BMV10" s="20"/>
      <c r="BMW10" s="20"/>
      <c r="BMX10" s="20"/>
      <c r="BMY10" s="20"/>
      <c r="BMZ10" s="20"/>
      <c r="BNA10" s="20"/>
      <c r="BNB10" s="20"/>
      <c r="BNC10" s="20"/>
      <c r="BND10" s="20"/>
      <c r="BNE10" s="20"/>
      <c r="BNF10" s="20"/>
      <c r="BNG10" s="20"/>
      <c r="BNH10" s="20"/>
      <c r="BNI10" s="20"/>
      <c r="BNJ10" s="20"/>
      <c r="BNK10" s="20"/>
      <c r="BNL10" s="20"/>
      <c r="BNM10" s="20"/>
      <c r="BNN10" s="20"/>
      <c r="BNO10" s="20"/>
      <c r="BNP10" s="20"/>
      <c r="BNQ10" s="20"/>
      <c r="BNR10" s="20"/>
      <c r="BNS10" s="20"/>
      <c r="BNT10" s="20"/>
      <c r="BNU10" s="20"/>
      <c r="BNV10" s="20"/>
      <c r="BNW10" s="20"/>
      <c r="BNX10" s="20"/>
      <c r="BNY10" s="20"/>
      <c r="BNZ10" s="20"/>
      <c r="BOA10" s="20"/>
      <c r="BOB10" s="20"/>
      <c r="BOC10" s="20"/>
      <c r="BOD10" s="20"/>
      <c r="BOE10" s="20"/>
      <c r="BOF10" s="20"/>
      <c r="BOG10" s="20"/>
      <c r="BOH10" s="20"/>
      <c r="BOI10" s="20"/>
      <c r="BOJ10" s="20"/>
      <c r="BOK10" s="20"/>
      <c r="BOL10" s="20"/>
      <c r="BOM10" s="20"/>
      <c r="BON10" s="20"/>
      <c r="BOO10" s="20"/>
      <c r="BOP10" s="20"/>
      <c r="BOQ10" s="20"/>
      <c r="BOR10" s="20"/>
      <c r="BOS10" s="20"/>
      <c r="BOT10" s="20"/>
      <c r="BOU10" s="20"/>
      <c r="BOV10" s="20"/>
      <c r="BOW10" s="20"/>
      <c r="BOX10" s="20"/>
      <c r="BOY10" s="20"/>
      <c r="BOZ10" s="20"/>
      <c r="BPA10" s="20"/>
      <c r="BPB10" s="20"/>
      <c r="BPC10" s="20"/>
      <c r="BPD10" s="20"/>
      <c r="BPE10" s="20"/>
      <c r="BPF10" s="20"/>
      <c r="BPG10" s="20"/>
      <c r="BPH10" s="20"/>
      <c r="BPI10" s="20"/>
      <c r="BPJ10" s="20"/>
      <c r="BPK10" s="20"/>
      <c r="BPL10" s="20"/>
      <c r="BPM10" s="20"/>
      <c r="BPN10" s="20"/>
      <c r="BPO10" s="20"/>
      <c r="BPP10" s="20"/>
      <c r="BPQ10" s="20"/>
      <c r="BPR10" s="20"/>
      <c r="BPS10" s="20"/>
      <c r="BPT10" s="20"/>
      <c r="BPU10" s="20"/>
      <c r="BPV10" s="20"/>
      <c r="BPW10" s="20"/>
      <c r="BPX10" s="20"/>
      <c r="BPY10" s="20"/>
      <c r="BPZ10" s="20"/>
      <c r="BQA10" s="20"/>
      <c r="BQB10" s="20"/>
      <c r="BQC10" s="20"/>
      <c r="BQD10" s="20"/>
      <c r="BQE10" s="20"/>
      <c r="BQF10" s="20"/>
      <c r="BQG10" s="20"/>
      <c r="BQH10" s="20"/>
      <c r="BQI10" s="20"/>
      <c r="BQJ10" s="20"/>
      <c r="BQK10" s="20"/>
      <c r="BQL10" s="20"/>
      <c r="BQM10" s="20"/>
      <c r="BQN10" s="20"/>
      <c r="BQO10" s="20"/>
      <c r="BQP10" s="20"/>
      <c r="BQQ10" s="20"/>
      <c r="BQR10" s="20"/>
      <c r="BQS10" s="20"/>
      <c r="BQT10" s="20"/>
      <c r="BQU10" s="20"/>
      <c r="BQV10" s="20"/>
      <c r="BQW10" s="20"/>
      <c r="BQX10" s="20"/>
      <c r="BQY10" s="20"/>
      <c r="BQZ10" s="20"/>
      <c r="BRA10" s="20"/>
      <c r="BRB10" s="20"/>
      <c r="BRC10" s="20"/>
      <c r="BRD10" s="20"/>
      <c r="BRE10" s="20"/>
      <c r="BRF10" s="20"/>
      <c r="BRG10" s="20"/>
      <c r="BRH10" s="20"/>
      <c r="BRI10" s="20"/>
      <c r="BRJ10" s="20"/>
      <c r="BRK10" s="20"/>
      <c r="BRL10" s="20"/>
      <c r="BRM10" s="20"/>
      <c r="BRN10" s="20"/>
      <c r="BRO10" s="20"/>
      <c r="BRP10" s="20"/>
      <c r="BRQ10" s="20"/>
      <c r="BRR10" s="20"/>
      <c r="BRS10" s="20"/>
      <c r="BRT10" s="20"/>
      <c r="BRU10" s="20"/>
      <c r="BRV10" s="20"/>
      <c r="BRW10" s="20"/>
      <c r="BRX10" s="20"/>
      <c r="BRY10" s="20"/>
      <c r="BRZ10" s="20"/>
      <c r="BSA10" s="20"/>
      <c r="BSB10" s="20"/>
      <c r="BSC10" s="20"/>
      <c r="BSD10" s="20"/>
      <c r="BSE10" s="20"/>
      <c r="BSF10" s="20"/>
      <c r="BSG10" s="20"/>
      <c r="BSH10" s="20"/>
      <c r="BSI10" s="20"/>
      <c r="BSJ10" s="20"/>
      <c r="BSK10" s="20"/>
      <c r="BSL10" s="20"/>
      <c r="BSM10" s="20"/>
      <c r="BSN10" s="20"/>
      <c r="BSO10" s="20"/>
      <c r="BSP10" s="20"/>
      <c r="BSQ10" s="20"/>
      <c r="BSR10" s="20"/>
      <c r="BSS10" s="20"/>
      <c r="BST10" s="20"/>
      <c r="BSU10" s="20"/>
      <c r="BSV10" s="20"/>
      <c r="BSW10" s="20"/>
      <c r="BSX10" s="20"/>
      <c r="BSY10" s="20"/>
      <c r="BSZ10" s="20"/>
      <c r="BTA10" s="20"/>
      <c r="BTB10" s="20"/>
      <c r="BTC10" s="20"/>
      <c r="BTD10" s="20"/>
      <c r="BTE10" s="20"/>
      <c r="BTF10" s="20"/>
      <c r="BTG10" s="20"/>
      <c r="BTH10" s="20"/>
      <c r="BTI10" s="20"/>
      <c r="BTJ10" s="20"/>
      <c r="BTK10" s="20"/>
      <c r="BTL10" s="20"/>
      <c r="BTM10" s="20"/>
      <c r="BTN10" s="20"/>
      <c r="BTO10" s="20"/>
      <c r="BTP10" s="20"/>
      <c r="BTQ10" s="20"/>
      <c r="BTR10" s="20"/>
      <c r="BTS10" s="20"/>
      <c r="BTT10" s="20"/>
      <c r="BTU10" s="20"/>
      <c r="BTV10" s="20"/>
      <c r="BTW10" s="20"/>
      <c r="BTX10" s="20"/>
      <c r="BTY10" s="20"/>
      <c r="BTZ10" s="20"/>
      <c r="BUA10" s="20"/>
      <c r="BUB10" s="20"/>
      <c r="BUC10" s="20"/>
      <c r="BUD10" s="20"/>
      <c r="BUE10" s="20"/>
      <c r="BUF10" s="20"/>
      <c r="BUG10" s="20"/>
      <c r="BUH10" s="20"/>
      <c r="BUI10" s="20"/>
      <c r="BUJ10" s="20"/>
      <c r="BUK10" s="20"/>
      <c r="BUL10" s="20"/>
      <c r="BUM10" s="20"/>
      <c r="BUN10" s="20"/>
      <c r="BUO10" s="20"/>
      <c r="BUP10" s="20"/>
      <c r="BUQ10" s="20"/>
      <c r="BUR10" s="20"/>
      <c r="BUS10" s="20"/>
      <c r="BUT10" s="20"/>
      <c r="BUU10" s="20"/>
      <c r="BUV10" s="20"/>
      <c r="BUW10" s="20"/>
      <c r="BUX10" s="20"/>
      <c r="BUY10" s="20"/>
      <c r="BUZ10" s="20"/>
      <c r="BVA10" s="20"/>
      <c r="BVB10" s="20"/>
      <c r="BVC10" s="20"/>
      <c r="BVD10" s="20"/>
      <c r="BVE10" s="20"/>
      <c r="BVF10" s="20"/>
      <c r="BVG10" s="20"/>
      <c r="BVH10" s="20"/>
      <c r="BVI10" s="20"/>
      <c r="BVJ10" s="20"/>
      <c r="BVK10" s="20"/>
      <c r="BVL10" s="20"/>
      <c r="BVM10" s="20"/>
      <c r="BVN10" s="20"/>
      <c r="BVO10" s="20"/>
      <c r="BVP10" s="20"/>
      <c r="BVQ10" s="20"/>
      <c r="BVR10" s="20"/>
      <c r="BVS10" s="20"/>
      <c r="BVT10" s="20"/>
      <c r="BVU10" s="20"/>
      <c r="BVV10" s="20"/>
      <c r="BVW10" s="20"/>
      <c r="BVX10" s="20"/>
      <c r="BVY10" s="20"/>
      <c r="BVZ10" s="20"/>
      <c r="BWA10" s="20"/>
      <c r="BWB10" s="20"/>
      <c r="BWC10" s="20"/>
      <c r="BWD10" s="20"/>
      <c r="BWE10" s="20"/>
      <c r="BWF10" s="20"/>
      <c r="BWG10" s="20"/>
      <c r="BWH10" s="20"/>
      <c r="BWI10" s="20"/>
      <c r="BWJ10" s="20"/>
      <c r="BWK10" s="20"/>
      <c r="BWL10" s="20"/>
      <c r="BWM10" s="20"/>
      <c r="BWN10" s="20"/>
      <c r="BWO10" s="20"/>
      <c r="BWP10" s="20"/>
      <c r="BWQ10" s="20"/>
      <c r="BWR10" s="20"/>
      <c r="BWS10" s="20"/>
      <c r="BWT10" s="20"/>
      <c r="BWU10" s="20"/>
      <c r="BWV10" s="20"/>
      <c r="BWW10" s="20"/>
      <c r="BWX10" s="20"/>
      <c r="BWY10" s="20"/>
      <c r="BWZ10" s="20"/>
      <c r="BXA10" s="20"/>
      <c r="BXB10" s="20"/>
      <c r="BXC10" s="20"/>
      <c r="BXD10" s="20"/>
      <c r="BXE10" s="20"/>
      <c r="BXF10" s="20"/>
      <c r="BXG10" s="20"/>
      <c r="BXH10" s="20"/>
      <c r="BXI10" s="20"/>
      <c r="BXJ10" s="20"/>
      <c r="BXK10" s="20"/>
      <c r="BXL10" s="20"/>
      <c r="BXM10" s="20"/>
      <c r="BXN10" s="20"/>
      <c r="BXO10" s="20"/>
      <c r="BXP10" s="20"/>
      <c r="BXQ10" s="20"/>
      <c r="BXR10" s="20"/>
      <c r="BXS10" s="20"/>
      <c r="BXT10" s="20"/>
      <c r="BXU10" s="20"/>
      <c r="BXV10" s="20"/>
      <c r="BXW10" s="20"/>
      <c r="BXX10" s="20"/>
      <c r="BXY10" s="20"/>
      <c r="BXZ10" s="20"/>
      <c r="BYA10" s="20"/>
      <c r="BYB10" s="20"/>
      <c r="BYC10" s="20"/>
      <c r="BYD10" s="20"/>
      <c r="BYE10" s="20"/>
      <c r="BYF10" s="20"/>
      <c r="BYG10" s="20"/>
      <c r="BYH10" s="20"/>
      <c r="BYI10" s="20"/>
      <c r="BYJ10" s="20"/>
      <c r="BYK10" s="20"/>
      <c r="BYL10" s="20"/>
      <c r="BYM10" s="20"/>
      <c r="BYN10" s="20"/>
      <c r="BYO10" s="20"/>
      <c r="BYP10" s="20"/>
      <c r="BYQ10" s="20"/>
      <c r="BYR10" s="20"/>
      <c r="BYS10" s="20"/>
      <c r="BYT10" s="20"/>
      <c r="BYU10" s="20"/>
      <c r="BYV10" s="20"/>
      <c r="BYW10" s="20"/>
      <c r="BYX10" s="20"/>
      <c r="BYY10" s="20"/>
      <c r="BYZ10" s="20"/>
      <c r="BZA10" s="20"/>
      <c r="BZB10" s="20"/>
      <c r="BZC10" s="20"/>
      <c r="BZD10" s="20"/>
      <c r="BZE10" s="20"/>
      <c r="BZF10" s="20"/>
      <c r="BZG10" s="20"/>
      <c r="BZH10" s="20"/>
      <c r="BZI10" s="20"/>
      <c r="BZJ10" s="20"/>
      <c r="BZK10" s="20"/>
      <c r="BZL10" s="20"/>
      <c r="BZM10" s="20"/>
      <c r="BZN10" s="20"/>
      <c r="BZO10" s="20"/>
      <c r="BZP10" s="20"/>
      <c r="BZQ10" s="20"/>
      <c r="BZR10" s="20"/>
      <c r="BZS10" s="20"/>
      <c r="BZT10" s="20"/>
      <c r="BZU10" s="20"/>
      <c r="BZV10" s="20"/>
      <c r="BZW10" s="20"/>
      <c r="BZX10" s="20"/>
      <c r="BZY10" s="20"/>
      <c r="BZZ10" s="20"/>
      <c r="CAA10" s="20"/>
      <c r="CAB10" s="20"/>
      <c r="CAC10" s="20"/>
      <c r="CAD10" s="20"/>
      <c r="CAE10" s="20"/>
      <c r="CAF10" s="20"/>
      <c r="CAG10" s="20"/>
      <c r="CAH10" s="20"/>
      <c r="CAI10" s="20"/>
      <c r="CAJ10" s="20"/>
      <c r="CAK10" s="20"/>
      <c r="CAL10" s="20"/>
      <c r="CAM10" s="20"/>
      <c r="CAN10" s="20"/>
      <c r="CAO10" s="20"/>
      <c r="CAP10" s="20"/>
      <c r="CAQ10" s="20"/>
      <c r="CAR10" s="20"/>
      <c r="CAS10" s="20"/>
      <c r="CAT10" s="20"/>
      <c r="CAU10" s="20"/>
      <c r="CAV10" s="20"/>
      <c r="CAW10" s="20"/>
      <c r="CAX10" s="20"/>
      <c r="CAY10" s="20"/>
      <c r="CAZ10" s="20"/>
      <c r="CBA10" s="20"/>
      <c r="CBB10" s="20"/>
      <c r="CBC10" s="20"/>
      <c r="CBD10" s="20"/>
      <c r="CBE10" s="20"/>
      <c r="CBF10" s="20"/>
      <c r="CBG10" s="20"/>
      <c r="CBH10" s="20"/>
      <c r="CBI10" s="20"/>
      <c r="CBJ10" s="20"/>
      <c r="CBK10" s="20"/>
      <c r="CBL10" s="20"/>
      <c r="CBM10" s="20"/>
      <c r="CBN10" s="20"/>
      <c r="CBO10" s="20"/>
      <c r="CBP10" s="20"/>
      <c r="CBQ10" s="20"/>
      <c r="CBR10" s="20"/>
      <c r="CBS10" s="20"/>
      <c r="CBT10" s="20"/>
      <c r="CBU10" s="20"/>
      <c r="CBV10" s="20"/>
      <c r="CBW10" s="20"/>
      <c r="CBX10" s="20"/>
      <c r="CBY10" s="20"/>
      <c r="CBZ10" s="20"/>
      <c r="CCA10" s="20"/>
      <c r="CCB10" s="20"/>
      <c r="CCC10" s="20"/>
      <c r="CCD10" s="20"/>
      <c r="CCE10" s="20"/>
      <c r="CCF10" s="20"/>
      <c r="CCG10" s="20"/>
      <c r="CCH10" s="20"/>
      <c r="CCI10" s="20"/>
      <c r="CCJ10" s="20"/>
      <c r="CCK10" s="20"/>
      <c r="CCL10" s="20"/>
      <c r="CCM10" s="20"/>
      <c r="CCN10" s="20"/>
      <c r="CCO10" s="20"/>
      <c r="CCP10" s="20"/>
      <c r="CCQ10" s="20"/>
      <c r="CCR10" s="20"/>
      <c r="CCS10" s="20"/>
      <c r="CCT10" s="20"/>
      <c r="CCU10" s="20"/>
      <c r="CCV10" s="20"/>
      <c r="CCW10" s="20"/>
      <c r="CCX10" s="20"/>
      <c r="CCY10" s="20"/>
      <c r="CCZ10" s="20"/>
      <c r="CDA10" s="20"/>
      <c r="CDB10" s="20"/>
      <c r="CDC10" s="20"/>
      <c r="CDD10" s="20"/>
      <c r="CDE10" s="20"/>
      <c r="CDF10" s="20"/>
      <c r="CDG10" s="20"/>
      <c r="CDH10" s="20"/>
      <c r="CDI10" s="20"/>
      <c r="CDJ10" s="20"/>
      <c r="CDK10" s="20"/>
      <c r="CDL10" s="20"/>
      <c r="CDM10" s="20"/>
      <c r="CDN10" s="20"/>
      <c r="CDO10" s="20"/>
      <c r="CDP10" s="20"/>
      <c r="CDQ10" s="20"/>
      <c r="CDR10" s="20"/>
      <c r="CDS10" s="20"/>
      <c r="CDT10" s="20"/>
      <c r="CDU10" s="20"/>
      <c r="CDV10" s="20"/>
      <c r="CDW10" s="20"/>
      <c r="CDX10" s="20"/>
      <c r="CDY10" s="20"/>
      <c r="CDZ10" s="20"/>
      <c r="CEA10" s="20"/>
      <c r="CEB10" s="20"/>
      <c r="CEC10" s="20"/>
      <c r="CED10" s="20"/>
      <c r="CEE10" s="20"/>
      <c r="CEF10" s="20"/>
      <c r="CEG10" s="20"/>
      <c r="CEH10" s="20"/>
      <c r="CEI10" s="20"/>
      <c r="CEJ10" s="20"/>
      <c r="CEK10" s="20"/>
      <c r="CEL10" s="20"/>
      <c r="CEM10" s="20"/>
      <c r="CEN10" s="20"/>
      <c r="CEO10" s="20"/>
      <c r="CEP10" s="20"/>
      <c r="CEQ10" s="20"/>
      <c r="CER10" s="20"/>
      <c r="CES10" s="20"/>
      <c r="CET10" s="20"/>
      <c r="CEU10" s="20"/>
      <c r="CEV10" s="20"/>
      <c r="CEW10" s="20"/>
      <c r="CEX10" s="20"/>
      <c r="CEY10" s="20"/>
      <c r="CEZ10" s="20"/>
      <c r="CFA10" s="20"/>
      <c r="CFB10" s="20"/>
      <c r="CFC10" s="20"/>
      <c r="CFD10" s="20"/>
      <c r="CFE10" s="20"/>
      <c r="CFF10" s="20"/>
      <c r="CFG10" s="20"/>
      <c r="CFH10" s="20"/>
      <c r="CFI10" s="20"/>
      <c r="CFJ10" s="20"/>
      <c r="CFK10" s="20"/>
      <c r="CFL10" s="20"/>
      <c r="CFM10" s="20"/>
      <c r="CFN10" s="20"/>
      <c r="CFO10" s="20"/>
      <c r="CFP10" s="20"/>
      <c r="CFQ10" s="20"/>
      <c r="CFR10" s="20"/>
      <c r="CFS10" s="20"/>
      <c r="CFT10" s="20"/>
      <c r="CFU10" s="20"/>
      <c r="CFV10" s="20"/>
      <c r="CFW10" s="20"/>
      <c r="CFX10" s="20"/>
      <c r="CFY10" s="20"/>
      <c r="CFZ10" s="20"/>
      <c r="CGA10" s="20"/>
      <c r="CGB10" s="20"/>
      <c r="CGC10" s="20"/>
      <c r="CGD10" s="20"/>
      <c r="CGE10" s="20"/>
      <c r="CGF10" s="20"/>
      <c r="CGG10" s="20"/>
      <c r="CGH10" s="20"/>
      <c r="CGI10" s="20"/>
      <c r="CGJ10" s="20"/>
      <c r="CGK10" s="20"/>
      <c r="CGL10" s="20"/>
      <c r="CGM10" s="20"/>
      <c r="CGN10" s="20"/>
      <c r="CGO10" s="20"/>
      <c r="CGP10" s="20"/>
      <c r="CGQ10" s="20"/>
      <c r="CGR10" s="20"/>
      <c r="CGS10" s="20"/>
      <c r="CGT10" s="20"/>
      <c r="CGU10" s="20"/>
      <c r="CGV10" s="20"/>
      <c r="CGW10" s="20"/>
      <c r="CGX10" s="20"/>
      <c r="CGY10" s="20"/>
      <c r="CGZ10" s="20"/>
      <c r="CHA10" s="20"/>
      <c r="CHB10" s="20"/>
      <c r="CHC10" s="20"/>
      <c r="CHD10" s="20"/>
      <c r="CHE10" s="20"/>
      <c r="CHF10" s="20"/>
      <c r="CHG10" s="20"/>
      <c r="CHH10" s="20"/>
      <c r="CHI10" s="20"/>
      <c r="CHJ10" s="20"/>
      <c r="CHK10" s="20"/>
      <c r="CHL10" s="20"/>
      <c r="CHM10" s="20"/>
      <c r="CHN10" s="20"/>
      <c r="CHO10" s="20"/>
      <c r="CHP10" s="20"/>
      <c r="CHQ10" s="20"/>
      <c r="CHR10" s="20"/>
      <c r="CHS10" s="20"/>
      <c r="CHT10" s="20"/>
      <c r="CHU10" s="20"/>
      <c r="CHV10" s="20"/>
      <c r="CHW10" s="20"/>
      <c r="CHX10" s="20"/>
      <c r="CHY10" s="20"/>
      <c r="CHZ10" s="20"/>
      <c r="CIA10" s="20"/>
      <c r="CIB10" s="20"/>
      <c r="CIC10" s="20"/>
      <c r="CID10" s="20"/>
      <c r="CIE10" s="20"/>
      <c r="CIF10" s="20"/>
      <c r="CIG10" s="20"/>
      <c r="CIH10" s="20"/>
      <c r="CII10" s="20"/>
      <c r="CIJ10" s="20"/>
      <c r="CIK10" s="20"/>
      <c r="CIL10" s="20"/>
      <c r="CIM10" s="20"/>
      <c r="CIN10" s="20"/>
      <c r="CIO10" s="20"/>
      <c r="CIP10" s="20"/>
      <c r="CIQ10" s="20"/>
      <c r="CIR10" s="20"/>
      <c r="CIS10" s="20"/>
      <c r="CIT10" s="20"/>
      <c r="CIU10" s="20"/>
      <c r="CIV10" s="20"/>
      <c r="CIW10" s="20"/>
      <c r="CIX10" s="20"/>
      <c r="CIY10" s="20"/>
      <c r="CIZ10" s="20"/>
      <c r="CJA10" s="20"/>
      <c r="CJB10" s="20"/>
      <c r="CJC10" s="20"/>
      <c r="CJD10" s="20"/>
      <c r="CJE10" s="20"/>
      <c r="CJF10" s="20"/>
      <c r="CJG10" s="20"/>
      <c r="CJH10" s="20"/>
      <c r="CJI10" s="20"/>
      <c r="CJJ10" s="20"/>
      <c r="CJK10" s="20"/>
      <c r="CJL10" s="20"/>
      <c r="CJM10" s="20"/>
      <c r="CJN10" s="20"/>
      <c r="CJO10" s="20"/>
      <c r="CJP10" s="20"/>
      <c r="CJQ10" s="20"/>
      <c r="CJR10" s="20"/>
      <c r="CJS10" s="20"/>
      <c r="CJT10" s="20"/>
      <c r="CJU10" s="20"/>
      <c r="CJV10" s="20"/>
      <c r="CJW10" s="20"/>
      <c r="CJX10" s="20"/>
      <c r="CJY10" s="20"/>
      <c r="CJZ10" s="20"/>
      <c r="CKA10" s="20"/>
      <c r="CKB10" s="20"/>
      <c r="CKC10" s="20"/>
      <c r="CKD10" s="20"/>
      <c r="CKE10" s="20"/>
      <c r="CKF10" s="20"/>
      <c r="CKG10" s="20"/>
      <c r="CKH10" s="20"/>
      <c r="CKI10" s="20"/>
      <c r="CKJ10" s="20"/>
      <c r="CKK10" s="20"/>
      <c r="CKL10" s="20"/>
      <c r="CKM10" s="20"/>
      <c r="CKN10" s="20"/>
      <c r="CKO10" s="20"/>
      <c r="CKP10" s="20"/>
      <c r="CKQ10" s="20"/>
      <c r="CKR10" s="20"/>
      <c r="CKS10" s="20"/>
      <c r="CKT10" s="20"/>
      <c r="CKU10" s="20"/>
      <c r="CKV10" s="20"/>
      <c r="CKW10" s="20"/>
      <c r="CKX10" s="20"/>
      <c r="CKY10" s="20"/>
      <c r="CKZ10" s="20"/>
      <c r="CLA10" s="20"/>
      <c r="CLB10" s="20"/>
      <c r="CLC10" s="20"/>
      <c r="CLD10" s="20"/>
      <c r="CLE10" s="20"/>
      <c r="CLF10" s="20"/>
      <c r="CLG10" s="20"/>
      <c r="CLH10" s="20"/>
      <c r="CLI10" s="20"/>
      <c r="CLJ10" s="20"/>
      <c r="CLK10" s="20"/>
      <c r="CLL10" s="20"/>
      <c r="CLM10" s="20"/>
      <c r="CLN10" s="20"/>
      <c r="CLO10" s="20"/>
      <c r="CLP10" s="20"/>
      <c r="CLQ10" s="20"/>
      <c r="CLR10" s="20"/>
      <c r="CLS10" s="20"/>
      <c r="CLT10" s="20"/>
      <c r="CLU10" s="20"/>
      <c r="CLV10" s="20"/>
      <c r="CLW10" s="20"/>
      <c r="CLX10" s="20"/>
      <c r="CLY10" s="20"/>
      <c r="CLZ10" s="20"/>
      <c r="CMA10" s="20"/>
      <c r="CMB10" s="20"/>
      <c r="CMC10" s="20"/>
      <c r="CMD10" s="20"/>
      <c r="CME10" s="20"/>
      <c r="CMF10" s="20"/>
      <c r="CMG10" s="20"/>
      <c r="CMH10" s="20"/>
      <c r="CMI10" s="20"/>
      <c r="CMJ10" s="20"/>
      <c r="CMK10" s="20"/>
      <c r="CML10" s="20"/>
      <c r="CMM10" s="20"/>
      <c r="CMN10" s="20"/>
      <c r="CMO10" s="20"/>
      <c r="CMP10" s="20"/>
      <c r="CMQ10" s="20"/>
      <c r="CMR10" s="20"/>
      <c r="CMS10" s="20"/>
      <c r="CMT10" s="20"/>
      <c r="CMU10" s="20"/>
      <c r="CMV10" s="20"/>
      <c r="CMW10" s="20"/>
      <c r="CMX10" s="20"/>
      <c r="CMY10" s="20"/>
      <c r="CMZ10" s="20"/>
      <c r="CNA10" s="20"/>
      <c r="CNB10" s="20"/>
      <c r="CNC10" s="20"/>
      <c r="CND10" s="20"/>
      <c r="CNE10" s="20"/>
      <c r="CNF10" s="20"/>
      <c r="CNG10" s="20"/>
      <c r="CNH10" s="20"/>
      <c r="CNI10" s="20"/>
      <c r="CNJ10" s="20"/>
      <c r="CNK10" s="20"/>
      <c r="CNL10" s="20"/>
      <c r="CNM10" s="20"/>
      <c r="CNN10" s="20"/>
      <c r="CNO10" s="20"/>
      <c r="CNP10" s="20"/>
      <c r="CNQ10" s="20"/>
      <c r="CNR10" s="20"/>
      <c r="CNS10" s="20"/>
      <c r="CNT10" s="20"/>
      <c r="CNU10" s="20"/>
      <c r="CNV10" s="20"/>
      <c r="CNW10" s="20"/>
      <c r="CNX10" s="20"/>
      <c r="CNY10" s="20"/>
      <c r="CNZ10" s="20"/>
      <c r="COA10" s="20"/>
      <c r="COB10" s="20"/>
      <c r="COC10" s="20"/>
      <c r="COD10" s="20"/>
      <c r="COE10" s="20"/>
      <c r="COF10" s="20"/>
      <c r="COG10" s="20"/>
      <c r="COH10" s="20"/>
      <c r="COI10" s="20"/>
      <c r="COJ10" s="20"/>
      <c r="COK10" s="20"/>
      <c r="COL10" s="20"/>
      <c r="COM10" s="20"/>
      <c r="CON10" s="20"/>
      <c r="COO10" s="20"/>
      <c r="COP10" s="20"/>
      <c r="COQ10" s="20"/>
      <c r="COR10" s="20"/>
      <c r="COS10" s="20"/>
      <c r="COT10" s="20"/>
      <c r="COU10" s="20"/>
      <c r="COV10" s="20"/>
      <c r="COW10" s="20"/>
      <c r="COX10" s="20"/>
      <c r="COY10" s="20"/>
      <c r="COZ10" s="20"/>
      <c r="CPA10" s="20"/>
      <c r="CPB10" s="20"/>
      <c r="CPC10" s="20"/>
      <c r="CPD10" s="20"/>
      <c r="CPE10" s="20"/>
      <c r="CPF10" s="20"/>
      <c r="CPG10" s="20"/>
      <c r="CPH10" s="20"/>
      <c r="CPI10" s="20"/>
      <c r="CPJ10" s="20"/>
      <c r="CPK10" s="20"/>
      <c r="CPL10" s="20"/>
      <c r="CPM10" s="20"/>
      <c r="CPN10" s="20"/>
      <c r="CPO10" s="20"/>
      <c r="CPP10" s="20"/>
      <c r="CPQ10" s="20"/>
      <c r="CPR10" s="20"/>
      <c r="CPS10" s="20"/>
      <c r="CPT10" s="20"/>
      <c r="CPU10" s="20"/>
      <c r="CPV10" s="20"/>
      <c r="CPW10" s="20"/>
      <c r="CPX10" s="20"/>
      <c r="CPY10" s="20"/>
      <c r="CPZ10" s="20"/>
      <c r="CQA10" s="20"/>
      <c r="CQB10" s="20"/>
      <c r="CQC10" s="20"/>
      <c r="CQD10" s="20"/>
      <c r="CQE10" s="20"/>
      <c r="CQF10" s="20"/>
      <c r="CQG10" s="20"/>
      <c r="CQH10" s="20"/>
      <c r="CQI10" s="20"/>
      <c r="CQJ10" s="20"/>
      <c r="CQK10" s="20"/>
      <c r="CQL10" s="20"/>
      <c r="CQM10" s="20"/>
      <c r="CQN10" s="20"/>
      <c r="CQO10" s="20"/>
      <c r="CQP10" s="20"/>
      <c r="CQQ10" s="20"/>
      <c r="CQR10" s="20"/>
      <c r="CQS10" s="20"/>
      <c r="CQT10" s="20"/>
      <c r="CQU10" s="20"/>
      <c r="CQV10" s="20"/>
      <c r="CQW10" s="20"/>
      <c r="CQX10" s="20"/>
      <c r="CQY10" s="20"/>
      <c r="CQZ10" s="20"/>
      <c r="CRA10" s="20"/>
      <c r="CRB10" s="20"/>
      <c r="CRC10" s="20"/>
      <c r="CRD10" s="20"/>
      <c r="CRE10" s="20"/>
      <c r="CRF10" s="20"/>
      <c r="CRG10" s="20"/>
      <c r="CRH10" s="20"/>
      <c r="CRI10" s="20"/>
      <c r="CRJ10" s="20"/>
      <c r="CRK10" s="20"/>
      <c r="CRL10" s="20"/>
      <c r="CRM10" s="20"/>
      <c r="CRN10" s="20"/>
      <c r="CRO10" s="20"/>
      <c r="CRP10" s="20"/>
      <c r="CRQ10" s="20"/>
      <c r="CRR10" s="20"/>
      <c r="CRS10" s="20"/>
      <c r="CRT10" s="20"/>
      <c r="CRU10" s="20"/>
      <c r="CRV10" s="20"/>
      <c r="CRW10" s="20"/>
      <c r="CRX10" s="20"/>
      <c r="CRY10" s="20"/>
      <c r="CRZ10" s="20"/>
      <c r="CSA10" s="20"/>
      <c r="CSB10" s="20"/>
      <c r="CSC10" s="20"/>
      <c r="CSD10" s="20"/>
      <c r="CSE10" s="20"/>
      <c r="CSF10" s="20"/>
      <c r="CSG10" s="20"/>
      <c r="CSH10" s="20"/>
      <c r="CSI10" s="20"/>
      <c r="CSJ10" s="20"/>
      <c r="CSK10" s="20"/>
      <c r="CSL10" s="20"/>
      <c r="CSM10" s="20"/>
      <c r="CSN10" s="20"/>
      <c r="CSO10" s="20"/>
      <c r="CSP10" s="20"/>
      <c r="CSQ10" s="20"/>
      <c r="CSR10" s="20"/>
      <c r="CSS10" s="20"/>
      <c r="CST10" s="20"/>
      <c r="CSU10" s="20"/>
      <c r="CSV10" s="20"/>
      <c r="CSW10" s="20"/>
      <c r="CSX10" s="20"/>
      <c r="CSY10" s="20"/>
      <c r="CSZ10" s="20"/>
      <c r="CTA10" s="20"/>
      <c r="CTB10" s="20"/>
      <c r="CTC10" s="20"/>
      <c r="CTD10" s="20"/>
      <c r="CTE10" s="20"/>
      <c r="CTF10" s="20"/>
      <c r="CTG10" s="20"/>
      <c r="CTH10" s="20"/>
      <c r="CTI10" s="20"/>
      <c r="CTJ10" s="20"/>
      <c r="CTK10" s="20"/>
      <c r="CTL10" s="20"/>
      <c r="CTM10" s="20"/>
      <c r="CTN10" s="20"/>
      <c r="CTO10" s="20"/>
      <c r="CTP10" s="20"/>
      <c r="CTQ10" s="20"/>
      <c r="CTR10" s="20"/>
      <c r="CTS10" s="20"/>
      <c r="CTT10" s="20"/>
      <c r="CTU10" s="20"/>
      <c r="CTV10" s="20"/>
      <c r="CTW10" s="20"/>
      <c r="CTX10" s="20"/>
      <c r="CTY10" s="20"/>
      <c r="CTZ10" s="20"/>
      <c r="CUA10" s="20"/>
      <c r="CUB10" s="20"/>
      <c r="CUC10" s="20"/>
      <c r="CUD10" s="20"/>
      <c r="CUE10" s="20"/>
      <c r="CUF10" s="20"/>
      <c r="CUG10" s="20"/>
      <c r="CUH10" s="20"/>
      <c r="CUI10" s="20"/>
      <c r="CUJ10" s="20"/>
      <c r="CUK10" s="20"/>
      <c r="CUL10" s="20"/>
      <c r="CUM10" s="20"/>
      <c r="CUN10" s="20"/>
      <c r="CUO10" s="20"/>
      <c r="CUP10" s="20"/>
      <c r="CUQ10" s="20"/>
      <c r="CUR10" s="20"/>
      <c r="CUS10" s="20"/>
      <c r="CUT10" s="20"/>
      <c r="CUU10" s="20"/>
      <c r="CUV10" s="20"/>
      <c r="CUW10" s="20"/>
      <c r="CUX10" s="20"/>
      <c r="CUY10" s="20"/>
      <c r="CUZ10" s="20"/>
      <c r="CVA10" s="20"/>
      <c r="CVB10" s="20"/>
      <c r="CVC10" s="20"/>
      <c r="CVD10" s="20"/>
      <c r="CVE10" s="20"/>
      <c r="CVF10" s="20"/>
      <c r="CVG10" s="20"/>
      <c r="CVH10" s="20"/>
      <c r="CVI10" s="20"/>
      <c r="CVJ10" s="20"/>
      <c r="CVK10" s="20"/>
      <c r="CVL10" s="20"/>
      <c r="CVM10" s="20"/>
      <c r="CVN10" s="20"/>
      <c r="CVO10" s="20"/>
      <c r="CVP10" s="20"/>
      <c r="CVQ10" s="20"/>
      <c r="CVR10" s="20"/>
      <c r="CVS10" s="20"/>
      <c r="CVT10" s="20"/>
      <c r="CVU10" s="20"/>
      <c r="CVV10" s="20"/>
      <c r="CVW10" s="20"/>
      <c r="CVX10" s="20"/>
      <c r="CVY10" s="20"/>
      <c r="CVZ10" s="20"/>
      <c r="CWA10" s="20"/>
      <c r="CWB10" s="20"/>
      <c r="CWC10" s="20"/>
      <c r="CWD10" s="20"/>
      <c r="CWE10" s="20"/>
      <c r="CWF10" s="20"/>
      <c r="CWG10" s="20"/>
      <c r="CWH10" s="20"/>
      <c r="CWI10" s="20"/>
      <c r="CWJ10" s="20"/>
      <c r="CWK10" s="20"/>
      <c r="CWL10" s="20"/>
      <c r="CWM10" s="20"/>
      <c r="CWN10" s="20"/>
      <c r="CWO10" s="20"/>
      <c r="CWP10" s="20"/>
      <c r="CWQ10" s="20"/>
      <c r="CWR10" s="20"/>
      <c r="CWS10" s="20"/>
      <c r="CWT10" s="20"/>
      <c r="CWU10" s="20"/>
      <c r="CWV10" s="20"/>
      <c r="CWW10" s="20"/>
      <c r="CWX10" s="20"/>
      <c r="CWY10" s="20"/>
      <c r="CWZ10" s="20"/>
      <c r="CXA10" s="20"/>
      <c r="CXB10" s="20"/>
      <c r="CXC10" s="20"/>
      <c r="CXD10" s="20"/>
      <c r="CXE10" s="20"/>
      <c r="CXF10" s="20"/>
      <c r="CXG10" s="20"/>
      <c r="CXH10" s="20"/>
      <c r="CXI10" s="20"/>
      <c r="CXJ10" s="20"/>
      <c r="CXK10" s="20"/>
      <c r="CXL10" s="20"/>
      <c r="CXM10" s="20"/>
      <c r="CXN10" s="20"/>
      <c r="CXO10" s="20"/>
      <c r="CXP10" s="20"/>
      <c r="CXQ10" s="20"/>
      <c r="CXR10" s="20"/>
      <c r="CXS10" s="20"/>
      <c r="CXT10" s="20"/>
      <c r="CXU10" s="20"/>
      <c r="CXV10" s="20"/>
      <c r="CXW10" s="20"/>
      <c r="CXX10" s="20"/>
      <c r="CXY10" s="20"/>
      <c r="CXZ10" s="20"/>
      <c r="CYA10" s="20"/>
      <c r="CYB10" s="20"/>
      <c r="CYC10" s="20"/>
      <c r="CYD10" s="20"/>
      <c r="CYE10" s="20"/>
      <c r="CYF10" s="20"/>
      <c r="CYG10" s="20"/>
      <c r="CYH10" s="20"/>
      <c r="CYI10" s="20"/>
      <c r="CYJ10" s="20"/>
      <c r="CYK10" s="20"/>
      <c r="CYL10" s="20"/>
      <c r="CYM10" s="20"/>
      <c r="CYN10" s="20"/>
      <c r="CYO10" s="20"/>
      <c r="CYP10" s="20"/>
      <c r="CYQ10" s="20"/>
      <c r="CYR10" s="20"/>
      <c r="CYS10" s="20"/>
      <c r="CYT10" s="20"/>
      <c r="CYU10" s="20"/>
      <c r="CYV10" s="20"/>
      <c r="CYW10" s="20"/>
      <c r="CYX10" s="20"/>
      <c r="CYY10" s="20"/>
      <c r="CYZ10" s="20"/>
      <c r="CZA10" s="20"/>
      <c r="CZB10" s="20"/>
      <c r="CZC10" s="20"/>
      <c r="CZD10" s="20"/>
      <c r="CZE10" s="20"/>
      <c r="CZF10" s="20"/>
      <c r="CZG10" s="20"/>
      <c r="CZH10" s="20"/>
      <c r="CZI10" s="20"/>
      <c r="CZJ10" s="20"/>
      <c r="CZK10" s="20"/>
      <c r="CZL10" s="20"/>
      <c r="CZM10" s="20"/>
      <c r="CZN10" s="20"/>
      <c r="CZO10" s="20"/>
      <c r="CZP10" s="20"/>
      <c r="CZQ10" s="20"/>
      <c r="CZR10" s="20"/>
      <c r="CZS10" s="20"/>
      <c r="CZT10" s="20"/>
      <c r="CZU10" s="20"/>
      <c r="CZV10" s="20"/>
      <c r="CZW10" s="20"/>
      <c r="CZX10" s="20"/>
      <c r="CZY10" s="20"/>
      <c r="CZZ10" s="20"/>
      <c r="DAA10" s="20"/>
      <c r="DAB10" s="20"/>
      <c r="DAC10" s="20"/>
      <c r="DAD10" s="20"/>
      <c r="DAE10" s="20"/>
      <c r="DAF10" s="20"/>
      <c r="DAG10" s="20"/>
      <c r="DAH10" s="20"/>
      <c r="DAI10" s="20"/>
      <c r="DAJ10" s="20"/>
      <c r="DAK10" s="20"/>
      <c r="DAL10" s="20"/>
      <c r="DAM10" s="20"/>
      <c r="DAN10" s="20"/>
      <c r="DAO10" s="20"/>
      <c r="DAP10" s="20"/>
      <c r="DAQ10" s="20"/>
      <c r="DAR10" s="20"/>
      <c r="DAS10" s="20"/>
      <c r="DAT10" s="20"/>
      <c r="DAU10" s="20"/>
      <c r="DAV10" s="20"/>
      <c r="DAW10" s="20"/>
      <c r="DAX10" s="20"/>
      <c r="DAY10" s="20"/>
      <c r="DAZ10" s="20"/>
      <c r="DBA10" s="20"/>
      <c r="DBB10" s="20"/>
      <c r="DBC10" s="20"/>
      <c r="DBD10" s="20"/>
      <c r="DBE10" s="20"/>
      <c r="DBF10" s="20"/>
      <c r="DBG10" s="20"/>
      <c r="DBH10" s="20"/>
      <c r="DBI10" s="20"/>
      <c r="DBJ10" s="20"/>
      <c r="DBK10" s="20"/>
      <c r="DBL10" s="20"/>
      <c r="DBM10" s="20"/>
      <c r="DBN10" s="20"/>
      <c r="DBO10" s="20"/>
      <c r="DBP10" s="20"/>
      <c r="DBQ10" s="20"/>
      <c r="DBR10" s="20"/>
      <c r="DBS10" s="20"/>
      <c r="DBT10" s="20"/>
      <c r="DBU10" s="20"/>
      <c r="DBV10" s="20"/>
      <c r="DBW10" s="20"/>
      <c r="DBX10" s="20"/>
      <c r="DBY10" s="20"/>
      <c r="DBZ10" s="20"/>
      <c r="DCA10" s="20"/>
      <c r="DCB10" s="20"/>
      <c r="DCC10" s="20"/>
      <c r="DCD10" s="20"/>
      <c r="DCE10" s="20"/>
      <c r="DCF10" s="20"/>
      <c r="DCG10" s="20"/>
      <c r="DCH10" s="20"/>
      <c r="DCI10" s="20"/>
      <c r="DCJ10" s="20"/>
      <c r="DCK10" s="20"/>
      <c r="DCL10" s="20"/>
      <c r="DCM10" s="20"/>
      <c r="DCN10" s="20"/>
      <c r="DCO10" s="20"/>
      <c r="DCP10" s="20"/>
      <c r="DCQ10" s="20"/>
      <c r="DCR10" s="20"/>
      <c r="DCS10" s="20"/>
      <c r="DCT10" s="20"/>
      <c r="DCU10" s="20"/>
      <c r="DCV10" s="20"/>
      <c r="DCW10" s="20"/>
      <c r="DCX10" s="20"/>
      <c r="DCY10" s="20"/>
      <c r="DCZ10" s="20"/>
      <c r="DDA10" s="20"/>
      <c r="DDB10" s="20"/>
      <c r="DDC10" s="20"/>
      <c r="DDD10" s="20"/>
      <c r="DDE10" s="20"/>
      <c r="DDF10" s="20"/>
      <c r="DDG10" s="20"/>
      <c r="DDH10" s="20"/>
      <c r="DDI10" s="20"/>
      <c r="DDJ10" s="20"/>
      <c r="DDK10" s="20"/>
      <c r="DDL10" s="20"/>
      <c r="DDM10" s="20"/>
      <c r="DDN10" s="20"/>
      <c r="DDO10" s="20"/>
      <c r="DDP10" s="20"/>
      <c r="DDQ10" s="20"/>
      <c r="DDR10" s="20"/>
      <c r="DDS10" s="20"/>
      <c r="DDT10" s="20"/>
      <c r="DDU10" s="20"/>
      <c r="DDV10" s="20"/>
      <c r="DDW10" s="20"/>
      <c r="DDX10" s="20"/>
      <c r="DDY10" s="20"/>
      <c r="DDZ10" s="20"/>
      <c r="DEA10" s="20"/>
      <c r="DEB10" s="20"/>
      <c r="DEC10" s="20"/>
      <c r="DED10" s="20"/>
      <c r="DEE10" s="20"/>
      <c r="DEF10" s="20"/>
      <c r="DEG10" s="20"/>
      <c r="DEH10" s="20"/>
      <c r="DEI10" s="20"/>
      <c r="DEJ10" s="20"/>
      <c r="DEK10" s="20"/>
      <c r="DEL10" s="20"/>
      <c r="DEM10" s="20"/>
      <c r="DEN10" s="20"/>
      <c r="DEO10" s="20"/>
      <c r="DEP10" s="20"/>
      <c r="DEQ10" s="20"/>
      <c r="DER10" s="20"/>
      <c r="DES10" s="20"/>
      <c r="DET10" s="20"/>
      <c r="DEU10" s="20"/>
      <c r="DEV10" s="20"/>
      <c r="DEW10" s="20"/>
      <c r="DEX10" s="20"/>
      <c r="DEY10" s="20"/>
      <c r="DEZ10" s="20"/>
      <c r="DFA10" s="20"/>
      <c r="DFB10" s="20"/>
      <c r="DFC10" s="20"/>
      <c r="DFD10" s="20"/>
      <c r="DFE10" s="20"/>
      <c r="DFF10" s="20"/>
      <c r="DFG10" s="20"/>
      <c r="DFH10" s="20"/>
      <c r="DFI10" s="20"/>
      <c r="DFJ10" s="20"/>
      <c r="DFK10" s="20"/>
      <c r="DFL10" s="20"/>
      <c r="DFM10" s="20"/>
      <c r="DFN10" s="20"/>
      <c r="DFO10" s="20"/>
      <c r="DFP10" s="20"/>
      <c r="DFQ10" s="20"/>
      <c r="DFR10" s="20"/>
      <c r="DFS10" s="20"/>
      <c r="DFT10" s="20"/>
      <c r="DFU10" s="20"/>
      <c r="DFV10" s="20"/>
      <c r="DFW10" s="20"/>
      <c r="DFX10" s="20"/>
      <c r="DFY10" s="20"/>
      <c r="DFZ10" s="20"/>
      <c r="DGA10" s="20"/>
      <c r="DGB10" s="20"/>
      <c r="DGC10" s="20"/>
      <c r="DGD10" s="20"/>
      <c r="DGE10" s="20"/>
      <c r="DGF10" s="20"/>
      <c r="DGG10" s="20"/>
      <c r="DGH10" s="20"/>
      <c r="DGI10" s="20"/>
      <c r="DGJ10" s="20"/>
      <c r="DGK10" s="20"/>
      <c r="DGL10" s="20"/>
      <c r="DGM10" s="20"/>
      <c r="DGN10" s="20"/>
      <c r="DGO10" s="20"/>
      <c r="DGP10" s="20"/>
      <c r="DGQ10" s="20"/>
      <c r="DGR10" s="20"/>
      <c r="DGS10" s="20"/>
      <c r="DGT10" s="20"/>
      <c r="DGU10" s="20"/>
      <c r="DGV10" s="20"/>
      <c r="DGW10" s="20"/>
      <c r="DGX10" s="20"/>
      <c r="DGY10" s="20"/>
      <c r="DGZ10" s="20"/>
      <c r="DHA10" s="20"/>
      <c r="DHB10" s="20"/>
      <c r="DHC10" s="20"/>
      <c r="DHD10" s="20"/>
      <c r="DHE10" s="20"/>
      <c r="DHF10" s="20"/>
      <c r="DHG10" s="20"/>
      <c r="DHH10" s="20"/>
      <c r="DHI10" s="20"/>
      <c r="DHJ10" s="20"/>
      <c r="DHK10" s="20"/>
      <c r="DHL10" s="20"/>
      <c r="DHM10" s="20"/>
      <c r="DHN10" s="20"/>
      <c r="DHO10" s="20"/>
      <c r="DHP10" s="20"/>
      <c r="DHQ10" s="20"/>
      <c r="DHR10" s="20"/>
      <c r="DHS10" s="20"/>
      <c r="DHT10" s="20"/>
      <c r="DHU10" s="20"/>
      <c r="DHV10" s="20"/>
    </row>
    <row r="11" spans="1:2934" s="39" customFormat="1" ht="24" hidden="1" customHeight="1" x14ac:dyDescent="0.35">
      <c r="A11" s="40">
        <v>7</v>
      </c>
      <c r="B11" s="69"/>
      <c r="C11" s="30"/>
      <c r="D11" s="86"/>
      <c r="E11" s="86"/>
      <c r="F11" s="86"/>
      <c r="G11" s="86"/>
      <c r="H11" s="86"/>
      <c r="I11" s="86"/>
      <c r="J11" s="86"/>
      <c r="K11" s="86">
        <v>1.5</v>
      </c>
      <c r="L11" s="86"/>
      <c r="M11" s="86"/>
      <c r="N11" s="87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  <c r="AD11" s="86"/>
      <c r="AE11" s="86"/>
      <c r="AF11" s="86"/>
      <c r="AG11" s="86"/>
      <c r="AH11" s="86"/>
      <c r="AI11" s="41">
        <f t="shared" si="0"/>
        <v>1.5</v>
      </c>
      <c r="AJ11" s="31">
        <v>44536</v>
      </c>
      <c r="AK11" s="19"/>
      <c r="AL11" s="95"/>
      <c r="AM11" s="22">
        <f>AI11*AL6</f>
        <v>107.33944954128441</v>
      </c>
      <c r="AN11" s="49">
        <f t="shared" si="1"/>
        <v>-107.33944954128441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2" customFormat="1" ht="24" hidden="1" customHeight="1" x14ac:dyDescent="0.35">
      <c r="A12" s="40">
        <v>8</v>
      </c>
      <c r="B12" s="123" t="s">
        <v>123</v>
      </c>
      <c r="C12" s="123"/>
      <c r="D12" s="86"/>
      <c r="E12" s="86"/>
      <c r="F12" s="86"/>
      <c r="G12" s="86"/>
      <c r="H12" s="86"/>
      <c r="I12" s="86"/>
      <c r="J12" s="86"/>
      <c r="K12" s="86">
        <v>1.5</v>
      </c>
      <c r="L12" s="86"/>
      <c r="M12" s="86"/>
      <c r="N12" s="87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  <c r="AD12" s="86"/>
      <c r="AE12" s="86"/>
      <c r="AF12" s="86"/>
      <c r="AG12" s="86"/>
      <c r="AH12" s="86"/>
      <c r="AI12" s="41">
        <f t="shared" ref="AI12:AI34" si="2">SUM(D12:AH12)</f>
        <v>1.5</v>
      </c>
      <c r="AJ12" s="31">
        <v>44537</v>
      </c>
      <c r="AK12" s="19"/>
      <c r="AL12" s="95"/>
      <c r="AM12" s="22">
        <f>AI12*AL6</f>
        <v>107.33944954128441</v>
      </c>
      <c r="AN12" s="49">
        <f t="shared" si="1"/>
        <v>-107.33944954128441</v>
      </c>
      <c r="AO12" s="30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33"/>
      <c r="CS12" s="33"/>
      <c r="CT12" s="33"/>
      <c r="CU12" s="33"/>
      <c r="CV12" s="33"/>
      <c r="CW12" s="33"/>
      <c r="CX12" s="33"/>
      <c r="CY12" s="33"/>
      <c r="CZ12" s="33"/>
      <c r="DA12" s="33"/>
      <c r="DB12" s="33"/>
      <c r="DC12" s="33"/>
      <c r="DD12" s="33"/>
      <c r="DE12" s="33"/>
      <c r="DF12" s="33"/>
      <c r="DG12" s="33"/>
      <c r="DH12" s="33"/>
      <c r="DI12" s="33"/>
      <c r="DJ12" s="33"/>
      <c r="DK12" s="33"/>
      <c r="DL12" s="33"/>
      <c r="DM12" s="33"/>
      <c r="DN12" s="33"/>
      <c r="DO12" s="33"/>
      <c r="DP12" s="33"/>
      <c r="DQ12" s="33"/>
      <c r="DR12" s="33"/>
      <c r="DS12" s="33"/>
      <c r="DT12" s="33"/>
      <c r="DU12" s="33"/>
      <c r="DV12" s="33"/>
      <c r="DW12" s="33"/>
      <c r="DX12" s="33"/>
      <c r="DY12" s="33"/>
      <c r="DZ12" s="33"/>
      <c r="EA12" s="33"/>
      <c r="EB12" s="33"/>
      <c r="EC12" s="33"/>
      <c r="ED12" s="33"/>
      <c r="EE12" s="33"/>
      <c r="EF12" s="33"/>
      <c r="EG12" s="33"/>
      <c r="EH12" s="33"/>
      <c r="EI12" s="33"/>
      <c r="EJ12" s="33"/>
      <c r="EK12" s="33"/>
      <c r="EL12" s="33"/>
      <c r="EM12" s="33"/>
      <c r="EN12" s="33"/>
      <c r="EO12" s="33"/>
      <c r="EP12" s="33"/>
      <c r="EQ12" s="33"/>
      <c r="ER12" s="33"/>
      <c r="ES12" s="33"/>
      <c r="ET12" s="33"/>
      <c r="EU12" s="33"/>
      <c r="EV12" s="33"/>
      <c r="EW12" s="33"/>
      <c r="EX12" s="33"/>
      <c r="EY12" s="33"/>
      <c r="EZ12" s="33"/>
      <c r="FA12" s="33"/>
      <c r="FB12" s="33"/>
      <c r="FC12" s="33"/>
      <c r="FD12" s="33"/>
      <c r="FE12" s="33"/>
      <c r="FF12" s="33"/>
      <c r="FG12" s="33"/>
      <c r="FH12" s="33"/>
      <c r="FI12" s="33"/>
      <c r="FJ12" s="33"/>
      <c r="FK12" s="33"/>
      <c r="FL12" s="33"/>
      <c r="FM12" s="33"/>
      <c r="FN12" s="33"/>
      <c r="FO12" s="33"/>
      <c r="FP12" s="33"/>
      <c r="FQ12" s="33"/>
      <c r="FR12" s="33"/>
      <c r="FS12" s="33"/>
      <c r="FT12" s="33"/>
      <c r="FU12" s="33"/>
      <c r="FV12" s="33"/>
      <c r="FW12" s="33"/>
      <c r="FX12" s="33"/>
      <c r="FY12" s="33"/>
      <c r="FZ12" s="33"/>
      <c r="GA12" s="33"/>
      <c r="GB12" s="33"/>
      <c r="GC12" s="33"/>
      <c r="GD12" s="33"/>
      <c r="GE12" s="33"/>
      <c r="GF12" s="33"/>
      <c r="GG12" s="33"/>
      <c r="GH12" s="33"/>
      <c r="GI12" s="33"/>
      <c r="GJ12" s="33"/>
      <c r="GK12" s="33"/>
      <c r="GL12" s="33"/>
      <c r="GM12" s="33"/>
      <c r="GN12" s="33"/>
      <c r="GO12" s="33"/>
      <c r="GP12" s="33"/>
      <c r="GQ12" s="33"/>
      <c r="GR12" s="33"/>
      <c r="GS12" s="33"/>
      <c r="GT12" s="33"/>
      <c r="GU12" s="33"/>
      <c r="GV12" s="33"/>
      <c r="GW12" s="33"/>
      <c r="GX12" s="33"/>
      <c r="GY12" s="33"/>
      <c r="GZ12" s="33"/>
      <c r="HA12" s="33"/>
      <c r="HB12" s="33"/>
      <c r="HC12" s="33"/>
      <c r="HD12" s="33"/>
      <c r="HE12" s="33"/>
      <c r="HF12" s="33"/>
      <c r="HG12" s="33"/>
      <c r="HH12" s="33"/>
      <c r="HI12" s="33"/>
      <c r="HJ12" s="33"/>
      <c r="HK12" s="33"/>
      <c r="HL12" s="33"/>
      <c r="HM12" s="33"/>
      <c r="HN12" s="33"/>
      <c r="HO12" s="33"/>
      <c r="HP12" s="33"/>
      <c r="HQ12" s="33"/>
      <c r="HR12" s="33"/>
      <c r="HS12" s="33"/>
      <c r="HT12" s="33"/>
      <c r="HU12" s="33"/>
      <c r="HV12" s="33"/>
      <c r="HW12" s="33"/>
      <c r="HX12" s="33"/>
      <c r="HY12" s="33"/>
      <c r="HZ12" s="33"/>
      <c r="IA12" s="33"/>
      <c r="IB12" s="33"/>
      <c r="IC12" s="33"/>
      <c r="ID12" s="33"/>
      <c r="IE12" s="33"/>
      <c r="IF12" s="33"/>
      <c r="IG12" s="33"/>
      <c r="IH12" s="33"/>
      <c r="II12" s="33"/>
      <c r="IJ12" s="33"/>
      <c r="IK12" s="33"/>
      <c r="IL12" s="33"/>
      <c r="IM12" s="33"/>
      <c r="IN12" s="33"/>
      <c r="IO12" s="33"/>
      <c r="IP12" s="33"/>
      <c r="IQ12" s="33"/>
      <c r="IR12" s="33"/>
      <c r="IS12" s="33"/>
      <c r="IT12" s="33"/>
      <c r="IU12" s="33"/>
      <c r="IV12" s="33"/>
      <c r="IW12" s="33"/>
      <c r="IX12" s="33"/>
      <c r="IY12" s="33"/>
      <c r="IZ12" s="33"/>
      <c r="JA12" s="33"/>
      <c r="JB12" s="33"/>
      <c r="JC12" s="33"/>
      <c r="JD12" s="33"/>
      <c r="JE12" s="33"/>
      <c r="JF12" s="33"/>
      <c r="JG12" s="33"/>
      <c r="JH12" s="33"/>
      <c r="JI12" s="33"/>
      <c r="JJ12" s="33"/>
      <c r="JK12" s="33"/>
      <c r="JL12" s="33"/>
      <c r="JM12" s="33"/>
      <c r="JN12" s="33"/>
      <c r="JO12" s="33"/>
      <c r="JP12" s="33"/>
      <c r="JQ12" s="33"/>
      <c r="JR12" s="33"/>
      <c r="JS12" s="33"/>
      <c r="JT12" s="33"/>
      <c r="JU12" s="33"/>
      <c r="JV12" s="33"/>
      <c r="JW12" s="33"/>
      <c r="JX12" s="33"/>
      <c r="JY12" s="33"/>
      <c r="JZ12" s="33"/>
      <c r="KA12" s="33"/>
      <c r="KB12" s="33"/>
      <c r="KC12" s="33"/>
      <c r="KD12" s="33"/>
      <c r="KE12" s="33"/>
      <c r="KF12" s="33"/>
      <c r="KG12" s="33"/>
      <c r="KH12" s="33"/>
      <c r="KI12" s="33"/>
      <c r="KJ12" s="33"/>
      <c r="KK12" s="33"/>
      <c r="KL12" s="33"/>
      <c r="KM12" s="33"/>
      <c r="KN12" s="33"/>
      <c r="KO12" s="33"/>
      <c r="KP12" s="33"/>
      <c r="KQ12" s="33"/>
      <c r="KR12" s="33"/>
      <c r="KS12" s="33"/>
      <c r="KT12" s="33"/>
      <c r="KU12" s="33"/>
      <c r="KV12" s="33"/>
      <c r="KW12" s="33"/>
      <c r="KX12" s="33"/>
      <c r="KY12" s="33"/>
      <c r="KZ12" s="33"/>
      <c r="LA12" s="33"/>
      <c r="LB12" s="33"/>
      <c r="LC12" s="33"/>
      <c r="LD12" s="33"/>
      <c r="LE12" s="33"/>
      <c r="LF12" s="33"/>
      <c r="LG12" s="33"/>
      <c r="LH12" s="33"/>
      <c r="LI12" s="33"/>
      <c r="LJ12" s="33"/>
      <c r="LK12" s="33"/>
      <c r="LL12" s="33"/>
      <c r="LM12" s="33"/>
      <c r="LN12" s="33"/>
      <c r="LO12" s="33"/>
      <c r="LP12" s="33"/>
      <c r="LQ12" s="33"/>
      <c r="LR12" s="33"/>
      <c r="LS12" s="33"/>
      <c r="LT12" s="33"/>
      <c r="LU12" s="33"/>
      <c r="LV12" s="33"/>
      <c r="LW12" s="33"/>
      <c r="LX12" s="33"/>
      <c r="LY12" s="33"/>
      <c r="LZ12" s="33"/>
      <c r="MA12" s="33"/>
      <c r="MB12" s="33"/>
      <c r="MC12" s="33"/>
      <c r="MD12" s="33"/>
      <c r="ME12" s="33"/>
      <c r="MF12" s="33"/>
      <c r="MG12" s="33"/>
      <c r="MH12" s="33"/>
      <c r="MI12" s="33"/>
      <c r="MJ12" s="33"/>
      <c r="MK12" s="33"/>
      <c r="ML12" s="33"/>
      <c r="MM12" s="33"/>
      <c r="MN12" s="33"/>
      <c r="MO12" s="33"/>
      <c r="MP12" s="33"/>
      <c r="MQ12" s="33"/>
      <c r="MR12" s="33"/>
      <c r="MS12" s="33"/>
      <c r="MT12" s="33"/>
      <c r="MU12" s="33"/>
      <c r="MV12" s="33"/>
      <c r="MW12" s="33"/>
      <c r="MX12" s="33"/>
      <c r="MY12" s="33"/>
      <c r="MZ12" s="33"/>
      <c r="NA12" s="33"/>
      <c r="NB12" s="33"/>
      <c r="NC12" s="33"/>
      <c r="ND12" s="33"/>
      <c r="NE12" s="33"/>
      <c r="NF12" s="33"/>
      <c r="NG12" s="33"/>
      <c r="NH12" s="33"/>
      <c r="NI12" s="33"/>
      <c r="NJ12" s="33"/>
      <c r="NK12" s="33"/>
      <c r="NL12" s="33"/>
      <c r="NM12" s="33"/>
      <c r="NN12" s="33"/>
      <c r="NO12" s="33"/>
      <c r="NP12" s="33"/>
      <c r="NQ12" s="33"/>
      <c r="NR12" s="33"/>
      <c r="NS12" s="33"/>
      <c r="NT12" s="33"/>
      <c r="NU12" s="33"/>
      <c r="NV12" s="33"/>
      <c r="NW12" s="33"/>
      <c r="NX12" s="33"/>
      <c r="NY12" s="33"/>
      <c r="NZ12" s="33"/>
      <c r="OA12" s="33"/>
      <c r="OB12" s="33"/>
      <c r="OC12" s="33"/>
      <c r="OD12" s="33"/>
      <c r="OE12" s="33"/>
      <c r="OF12" s="33"/>
      <c r="OG12" s="33"/>
      <c r="OH12" s="33"/>
      <c r="OI12" s="33"/>
      <c r="OJ12" s="33"/>
      <c r="OK12" s="33"/>
      <c r="OL12" s="33"/>
      <c r="OM12" s="33"/>
      <c r="ON12" s="33"/>
      <c r="OO12" s="33"/>
      <c r="OP12" s="33"/>
      <c r="OQ12" s="33"/>
      <c r="OR12" s="33"/>
      <c r="OS12" s="33"/>
      <c r="OT12" s="33"/>
      <c r="OU12" s="33"/>
      <c r="OV12" s="33"/>
      <c r="OW12" s="33"/>
      <c r="OX12" s="33"/>
      <c r="OY12" s="33"/>
      <c r="OZ12" s="33"/>
      <c r="PA12" s="33"/>
      <c r="PB12" s="33"/>
      <c r="PC12" s="33"/>
      <c r="PD12" s="33"/>
      <c r="PE12" s="33"/>
      <c r="PF12" s="33"/>
      <c r="PG12" s="33"/>
      <c r="PH12" s="33"/>
      <c r="PI12" s="33"/>
      <c r="PJ12" s="33"/>
      <c r="PK12" s="33"/>
      <c r="PL12" s="33"/>
      <c r="PM12" s="33"/>
      <c r="PN12" s="33"/>
      <c r="PO12" s="33"/>
      <c r="PP12" s="33"/>
      <c r="PQ12" s="33"/>
      <c r="PR12" s="33"/>
      <c r="PS12" s="33"/>
      <c r="PT12" s="33"/>
      <c r="PU12" s="33"/>
      <c r="PV12" s="33"/>
      <c r="PW12" s="33"/>
      <c r="PX12" s="33"/>
      <c r="PY12" s="33"/>
      <c r="PZ12" s="33"/>
      <c r="QA12" s="33"/>
      <c r="QB12" s="33"/>
      <c r="QC12" s="33"/>
      <c r="QD12" s="33"/>
      <c r="QE12" s="33"/>
      <c r="QF12" s="33"/>
      <c r="QG12" s="33"/>
      <c r="QH12" s="33"/>
      <c r="QI12" s="33"/>
      <c r="QJ12" s="33"/>
      <c r="QK12" s="33"/>
      <c r="QL12" s="33"/>
      <c r="QM12" s="33"/>
      <c r="QN12" s="33"/>
      <c r="QO12" s="33"/>
      <c r="QP12" s="33"/>
      <c r="QQ12" s="33"/>
      <c r="QR12" s="33"/>
      <c r="QS12" s="33"/>
      <c r="QT12" s="33"/>
      <c r="QU12" s="33"/>
      <c r="QV12" s="33"/>
      <c r="QW12" s="33"/>
      <c r="QX12" s="33"/>
      <c r="QY12" s="33"/>
      <c r="QZ12" s="33"/>
      <c r="RA12" s="33"/>
      <c r="RB12" s="33"/>
      <c r="RC12" s="33"/>
      <c r="RD12" s="33"/>
      <c r="RE12" s="33"/>
      <c r="RF12" s="33"/>
      <c r="RG12" s="33"/>
      <c r="RH12" s="33"/>
      <c r="RI12" s="33"/>
      <c r="RJ12" s="33"/>
      <c r="RK12" s="33"/>
      <c r="RL12" s="33"/>
      <c r="RM12" s="33"/>
      <c r="RN12" s="33"/>
      <c r="RO12" s="33"/>
      <c r="RP12" s="33"/>
      <c r="RQ12" s="33"/>
      <c r="RR12" s="33"/>
      <c r="RS12" s="33"/>
      <c r="RT12" s="33"/>
      <c r="RU12" s="33"/>
      <c r="RV12" s="33"/>
      <c r="RW12" s="33"/>
      <c r="RX12" s="33"/>
      <c r="RY12" s="33"/>
      <c r="RZ12" s="33"/>
      <c r="SA12" s="33"/>
      <c r="SB12" s="33"/>
      <c r="SC12" s="33"/>
      <c r="SD12" s="33"/>
      <c r="SE12" s="33"/>
      <c r="SF12" s="33"/>
      <c r="SG12" s="33"/>
      <c r="SH12" s="33"/>
      <c r="SI12" s="33"/>
      <c r="SJ12" s="33"/>
      <c r="SK12" s="33"/>
      <c r="SL12" s="33"/>
      <c r="SM12" s="33"/>
      <c r="SN12" s="33"/>
      <c r="SO12" s="33"/>
      <c r="SP12" s="33"/>
      <c r="SQ12" s="33"/>
      <c r="SR12" s="33"/>
      <c r="SS12" s="33"/>
      <c r="ST12" s="33"/>
      <c r="SU12" s="33"/>
      <c r="SV12" s="33"/>
      <c r="SW12" s="33"/>
      <c r="SX12" s="33"/>
      <c r="SY12" s="33"/>
      <c r="SZ12" s="33"/>
      <c r="TA12" s="33"/>
      <c r="TB12" s="33"/>
      <c r="TC12" s="33"/>
      <c r="TD12" s="33"/>
      <c r="TE12" s="33"/>
      <c r="TF12" s="33"/>
      <c r="TG12" s="33"/>
      <c r="TH12" s="33"/>
      <c r="TI12" s="33"/>
      <c r="TJ12" s="33"/>
      <c r="TK12" s="33"/>
      <c r="TL12" s="33"/>
      <c r="TM12" s="33"/>
      <c r="TN12" s="33"/>
      <c r="TO12" s="33"/>
      <c r="TP12" s="33"/>
      <c r="TQ12" s="33"/>
      <c r="TR12" s="33"/>
      <c r="TS12" s="33"/>
      <c r="TT12" s="33"/>
      <c r="TU12" s="33"/>
      <c r="TV12" s="33"/>
      <c r="TW12" s="33"/>
      <c r="TX12" s="33"/>
      <c r="TY12" s="33"/>
      <c r="TZ12" s="33"/>
      <c r="UA12" s="33"/>
      <c r="UB12" s="33"/>
      <c r="UC12" s="33"/>
      <c r="UD12" s="33"/>
      <c r="UE12" s="33"/>
      <c r="UF12" s="33"/>
      <c r="UG12" s="33"/>
      <c r="UH12" s="33"/>
      <c r="UI12" s="33"/>
      <c r="UJ12" s="33"/>
      <c r="UK12" s="33"/>
      <c r="UL12" s="33"/>
      <c r="UM12" s="33"/>
      <c r="UN12" s="33"/>
      <c r="UO12" s="33"/>
      <c r="UP12" s="33"/>
      <c r="UQ12" s="33"/>
      <c r="UR12" s="33"/>
      <c r="US12" s="33"/>
      <c r="UT12" s="33"/>
      <c r="UU12" s="33"/>
      <c r="UV12" s="33"/>
      <c r="UW12" s="33"/>
      <c r="UX12" s="33"/>
      <c r="UY12" s="33"/>
      <c r="UZ12" s="33"/>
      <c r="VA12" s="33"/>
      <c r="VB12" s="33"/>
      <c r="VC12" s="33"/>
      <c r="VD12" s="33"/>
      <c r="VE12" s="33"/>
      <c r="VF12" s="33"/>
      <c r="VG12" s="33"/>
      <c r="VH12" s="33"/>
      <c r="VI12" s="33"/>
      <c r="VJ12" s="33"/>
      <c r="VK12" s="33"/>
      <c r="VL12" s="33"/>
      <c r="VM12" s="33"/>
      <c r="VN12" s="33"/>
      <c r="VO12" s="33"/>
      <c r="VP12" s="33"/>
      <c r="VQ12" s="33"/>
      <c r="VR12" s="33"/>
      <c r="VS12" s="33"/>
      <c r="VT12" s="33"/>
      <c r="VU12" s="33"/>
      <c r="VV12" s="33"/>
      <c r="VW12" s="33"/>
      <c r="VX12" s="33"/>
      <c r="VY12" s="33"/>
      <c r="VZ12" s="33"/>
      <c r="WA12" s="33"/>
      <c r="WB12" s="33"/>
      <c r="WC12" s="33"/>
      <c r="WD12" s="33"/>
      <c r="WE12" s="33"/>
      <c r="WF12" s="33"/>
      <c r="WG12" s="33"/>
      <c r="WH12" s="33"/>
      <c r="WI12" s="33"/>
      <c r="WJ12" s="33"/>
      <c r="WK12" s="33"/>
      <c r="WL12" s="33"/>
      <c r="WM12" s="33"/>
      <c r="WN12" s="33"/>
      <c r="WO12" s="33"/>
      <c r="WP12" s="33"/>
      <c r="WQ12" s="33"/>
      <c r="WR12" s="33"/>
      <c r="WS12" s="33"/>
      <c r="WT12" s="33"/>
      <c r="WU12" s="33"/>
      <c r="WV12" s="33"/>
      <c r="WW12" s="33"/>
      <c r="WX12" s="33"/>
      <c r="WY12" s="33"/>
      <c r="WZ12" s="33"/>
      <c r="XA12" s="33"/>
      <c r="XB12" s="33"/>
      <c r="XC12" s="33"/>
      <c r="XD12" s="33"/>
      <c r="XE12" s="33"/>
      <c r="XF12" s="33"/>
      <c r="XG12" s="33"/>
      <c r="XH12" s="33"/>
      <c r="XI12" s="33"/>
      <c r="XJ12" s="33"/>
      <c r="XK12" s="33"/>
      <c r="XL12" s="33"/>
      <c r="XM12" s="33"/>
      <c r="XN12" s="33"/>
      <c r="XO12" s="33"/>
      <c r="XP12" s="33"/>
      <c r="XQ12" s="33"/>
      <c r="XR12" s="33"/>
      <c r="XS12" s="33"/>
      <c r="XT12" s="33"/>
      <c r="XU12" s="33"/>
      <c r="XV12" s="33"/>
      <c r="XW12" s="33"/>
      <c r="XX12" s="33"/>
      <c r="XY12" s="33"/>
      <c r="XZ12" s="33"/>
      <c r="YA12" s="33"/>
      <c r="YB12" s="33"/>
      <c r="YC12" s="33"/>
      <c r="YD12" s="33"/>
      <c r="YE12" s="33"/>
      <c r="YF12" s="33"/>
      <c r="YG12" s="33"/>
      <c r="YH12" s="33"/>
      <c r="YI12" s="33"/>
      <c r="YJ12" s="33"/>
      <c r="YK12" s="33"/>
      <c r="YL12" s="33"/>
      <c r="YM12" s="33"/>
      <c r="YN12" s="33"/>
      <c r="YO12" s="33"/>
      <c r="YP12" s="33"/>
      <c r="YQ12" s="33"/>
      <c r="YR12" s="33"/>
      <c r="YS12" s="33"/>
      <c r="YT12" s="33"/>
      <c r="YU12" s="33"/>
      <c r="YV12" s="33"/>
      <c r="YW12" s="33"/>
      <c r="YX12" s="33"/>
      <c r="YY12" s="33"/>
      <c r="YZ12" s="33"/>
      <c r="ZA12" s="33"/>
      <c r="ZB12" s="33"/>
      <c r="ZC12" s="33"/>
      <c r="ZD12" s="33"/>
      <c r="ZE12" s="33"/>
      <c r="ZF12" s="33"/>
      <c r="ZG12" s="33"/>
      <c r="ZH12" s="33"/>
      <c r="ZI12" s="33"/>
      <c r="ZJ12" s="33"/>
      <c r="ZK12" s="33"/>
      <c r="ZL12" s="33"/>
      <c r="ZM12" s="33"/>
      <c r="ZN12" s="33"/>
      <c r="ZO12" s="33"/>
      <c r="ZP12" s="33"/>
      <c r="ZQ12" s="33"/>
      <c r="ZR12" s="33"/>
      <c r="ZS12" s="33"/>
      <c r="ZT12" s="33"/>
      <c r="ZU12" s="33"/>
      <c r="ZV12" s="33"/>
      <c r="ZW12" s="33"/>
      <c r="ZX12" s="33"/>
      <c r="ZY12" s="33"/>
      <c r="ZZ12" s="33"/>
      <c r="AAA12" s="33"/>
      <c r="AAB12" s="33"/>
      <c r="AAC12" s="33"/>
      <c r="AAD12" s="33"/>
      <c r="AAE12" s="33"/>
      <c r="AAF12" s="33"/>
      <c r="AAG12" s="33"/>
      <c r="AAH12" s="33"/>
      <c r="AAI12" s="33"/>
      <c r="AAJ12" s="33"/>
      <c r="AAK12" s="33"/>
      <c r="AAL12" s="33"/>
      <c r="AAM12" s="33"/>
      <c r="AAN12" s="33"/>
      <c r="AAO12" s="33"/>
      <c r="AAP12" s="33"/>
      <c r="AAQ12" s="33"/>
      <c r="AAR12" s="33"/>
      <c r="AAS12" s="33"/>
      <c r="AAT12" s="33"/>
      <c r="AAU12" s="33"/>
      <c r="AAV12" s="33"/>
      <c r="AAW12" s="33"/>
      <c r="AAX12" s="33"/>
      <c r="AAY12" s="33"/>
      <c r="AAZ12" s="33"/>
      <c r="ABA12" s="33"/>
      <c r="ABB12" s="33"/>
      <c r="ABC12" s="33"/>
      <c r="ABD12" s="33"/>
      <c r="ABE12" s="33"/>
      <c r="ABF12" s="33"/>
      <c r="ABG12" s="33"/>
      <c r="ABH12" s="33"/>
      <c r="ABI12" s="33"/>
      <c r="ABJ12" s="33"/>
      <c r="ABK12" s="33"/>
      <c r="ABL12" s="33"/>
      <c r="ABM12" s="33"/>
      <c r="ABN12" s="33"/>
      <c r="ABO12" s="33"/>
      <c r="ABP12" s="33"/>
      <c r="ABQ12" s="33"/>
      <c r="ABR12" s="33"/>
      <c r="ABS12" s="33"/>
      <c r="ABT12" s="33"/>
      <c r="ABU12" s="33"/>
      <c r="ABV12" s="33"/>
      <c r="ABW12" s="33"/>
      <c r="ABX12" s="33"/>
      <c r="ABY12" s="33"/>
      <c r="ABZ12" s="33"/>
      <c r="ACA12" s="33"/>
      <c r="ACB12" s="33"/>
      <c r="ACC12" s="33"/>
      <c r="ACD12" s="33"/>
      <c r="ACE12" s="33"/>
      <c r="ACF12" s="33"/>
      <c r="ACG12" s="33"/>
      <c r="ACH12" s="33"/>
      <c r="ACI12" s="33"/>
      <c r="ACJ12" s="33"/>
      <c r="ACK12" s="33"/>
      <c r="ACL12" s="33"/>
      <c r="ACM12" s="33"/>
      <c r="ACN12" s="33"/>
      <c r="ACO12" s="33"/>
      <c r="ACP12" s="33"/>
      <c r="ACQ12" s="33"/>
      <c r="ACR12" s="33"/>
      <c r="ACS12" s="33"/>
      <c r="ACT12" s="33"/>
      <c r="ACU12" s="33"/>
      <c r="ACV12" s="33"/>
      <c r="ACW12" s="33"/>
      <c r="ACX12" s="33"/>
      <c r="ACY12" s="33"/>
      <c r="ACZ12" s="33"/>
      <c r="ADA12" s="33"/>
      <c r="ADB12" s="33"/>
      <c r="ADC12" s="33"/>
      <c r="ADD12" s="33"/>
      <c r="ADE12" s="33"/>
      <c r="ADF12" s="33"/>
      <c r="ADG12" s="33"/>
      <c r="ADH12" s="33"/>
      <c r="ADI12" s="33"/>
      <c r="ADJ12" s="33"/>
      <c r="ADK12" s="33"/>
      <c r="ADL12" s="33"/>
      <c r="ADM12" s="33"/>
      <c r="ADN12" s="33"/>
      <c r="ADO12" s="33"/>
      <c r="ADP12" s="33"/>
      <c r="ADQ12" s="33"/>
      <c r="ADR12" s="33"/>
      <c r="ADS12" s="33"/>
      <c r="ADT12" s="33"/>
      <c r="ADU12" s="33"/>
      <c r="ADV12" s="33"/>
      <c r="ADW12" s="33"/>
      <c r="ADX12" s="33"/>
      <c r="ADY12" s="33"/>
      <c r="ADZ12" s="33"/>
      <c r="AEA12" s="33"/>
      <c r="AEB12" s="33"/>
      <c r="AEC12" s="33"/>
      <c r="AED12" s="33"/>
      <c r="AEE12" s="33"/>
      <c r="AEF12" s="33"/>
      <c r="AEG12" s="33"/>
      <c r="AEH12" s="33"/>
      <c r="AEI12" s="33"/>
      <c r="AEJ12" s="33"/>
      <c r="AEK12" s="33"/>
      <c r="AEL12" s="33"/>
      <c r="AEM12" s="33"/>
      <c r="AEN12" s="33"/>
      <c r="AEO12" s="33"/>
      <c r="AEP12" s="33"/>
      <c r="AEQ12" s="33"/>
      <c r="AER12" s="33"/>
      <c r="AES12" s="33"/>
      <c r="AET12" s="33"/>
      <c r="AEU12" s="33"/>
      <c r="AEV12" s="33"/>
      <c r="AEW12" s="33"/>
      <c r="AEX12" s="33"/>
      <c r="AEY12" s="33"/>
      <c r="AEZ12" s="33"/>
      <c r="AFA12" s="33"/>
      <c r="AFB12" s="33"/>
      <c r="AFC12" s="33"/>
      <c r="AFD12" s="33"/>
      <c r="AFE12" s="33"/>
      <c r="AFF12" s="33"/>
      <c r="AFG12" s="33"/>
      <c r="AFH12" s="33"/>
      <c r="AFI12" s="33"/>
      <c r="AFJ12" s="33"/>
      <c r="AFK12" s="33"/>
      <c r="AFL12" s="33"/>
      <c r="AFM12" s="33"/>
      <c r="AFN12" s="33"/>
      <c r="AFO12" s="33"/>
      <c r="AFP12" s="33"/>
      <c r="AFQ12" s="33"/>
      <c r="AFR12" s="33"/>
      <c r="AFS12" s="33"/>
      <c r="AFT12" s="33"/>
      <c r="AFU12" s="33"/>
      <c r="AFV12" s="33"/>
      <c r="AFW12" s="33"/>
      <c r="AFX12" s="33"/>
      <c r="AFY12" s="33"/>
      <c r="AFZ12" s="33"/>
      <c r="AGA12" s="33"/>
      <c r="AGB12" s="33"/>
      <c r="AGC12" s="33"/>
      <c r="AGD12" s="33"/>
      <c r="AGE12" s="33"/>
      <c r="AGF12" s="33"/>
      <c r="AGG12" s="33"/>
      <c r="AGH12" s="33"/>
      <c r="AGI12" s="33"/>
      <c r="AGJ12" s="33"/>
      <c r="AGK12" s="33"/>
      <c r="AGL12" s="33"/>
      <c r="AGM12" s="33"/>
      <c r="AGN12" s="33"/>
      <c r="AGO12" s="33"/>
      <c r="AGP12" s="33"/>
      <c r="AGQ12" s="33"/>
      <c r="AGR12" s="33"/>
      <c r="AGS12" s="33"/>
      <c r="AGT12" s="33"/>
      <c r="AGU12" s="33"/>
      <c r="AGV12" s="33"/>
      <c r="AGW12" s="33"/>
      <c r="AGX12" s="33"/>
      <c r="AGY12" s="33"/>
      <c r="AGZ12" s="33"/>
      <c r="AHA12" s="33"/>
      <c r="AHB12" s="33"/>
      <c r="AHC12" s="33"/>
      <c r="AHD12" s="33"/>
      <c r="AHE12" s="33"/>
      <c r="AHF12" s="33"/>
      <c r="AHG12" s="33"/>
      <c r="AHH12" s="33"/>
      <c r="AHI12" s="33"/>
      <c r="AHJ12" s="33"/>
      <c r="AHK12" s="33"/>
      <c r="AHL12" s="33"/>
      <c r="AHM12" s="33"/>
      <c r="AHN12" s="33"/>
      <c r="AHO12" s="33"/>
      <c r="AHP12" s="33"/>
      <c r="AHQ12" s="33"/>
      <c r="AHR12" s="33"/>
      <c r="AHS12" s="33"/>
      <c r="AHT12" s="33"/>
      <c r="AHU12" s="33"/>
      <c r="AHV12" s="33"/>
      <c r="AHW12" s="33"/>
      <c r="AHX12" s="33"/>
      <c r="AHY12" s="33"/>
      <c r="AHZ12" s="33"/>
      <c r="AIA12" s="33"/>
      <c r="AIB12" s="33"/>
      <c r="AIC12" s="33"/>
      <c r="AID12" s="33"/>
      <c r="AIE12" s="33"/>
      <c r="AIF12" s="33"/>
      <c r="AIG12" s="33"/>
      <c r="AIH12" s="33"/>
      <c r="AII12" s="33"/>
      <c r="AIJ12" s="33"/>
      <c r="AIK12" s="33"/>
      <c r="AIL12" s="33"/>
      <c r="AIM12" s="33"/>
      <c r="AIN12" s="33"/>
      <c r="AIO12" s="33"/>
      <c r="AIP12" s="33"/>
      <c r="AIQ12" s="33"/>
      <c r="AIR12" s="33"/>
      <c r="AIS12" s="33"/>
      <c r="AIT12" s="33"/>
      <c r="AIU12" s="33"/>
      <c r="AIV12" s="33"/>
      <c r="AIW12" s="33"/>
      <c r="AIX12" s="33"/>
      <c r="AIY12" s="33"/>
      <c r="AIZ12" s="33"/>
      <c r="AJA12" s="33"/>
      <c r="AJB12" s="33"/>
      <c r="AJC12" s="33"/>
      <c r="AJD12" s="33"/>
      <c r="AJE12" s="33"/>
      <c r="AJF12" s="33"/>
      <c r="AJG12" s="33"/>
      <c r="AJH12" s="33"/>
      <c r="AJI12" s="33"/>
      <c r="AJJ12" s="33"/>
      <c r="AJK12" s="33"/>
      <c r="AJL12" s="33"/>
      <c r="AJM12" s="33"/>
      <c r="AJN12" s="33"/>
      <c r="AJO12" s="33"/>
      <c r="AJP12" s="33"/>
      <c r="AJQ12" s="33"/>
      <c r="AJR12" s="33"/>
      <c r="AJS12" s="33"/>
      <c r="AJT12" s="33"/>
      <c r="AJU12" s="33"/>
      <c r="AJV12" s="33"/>
      <c r="AJW12" s="33"/>
      <c r="AJX12" s="33"/>
      <c r="AJY12" s="33"/>
      <c r="AJZ12" s="33"/>
      <c r="AKA12" s="33"/>
      <c r="AKB12" s="33"/>
      <c r="AKC12" s="33"/>
      <c r="AKD12" s="33"/>
      <c r="AKE12" s="33"/>
      <c r="AKF12" s="33"/>
      <c r="AKG12" s="33"/>
      <c r="AKH12" s="33"/>
      <c r="AKI12" s="33"/>
      <c r="AKJ12" s="33"/>
      <c r="AKK12" s="33"/>
      <c r="AKL12" s="33"/>
      <c r="AKM12" s="33"/>
      <c r="AKN12" s="33"/>
      <c r="AKO12" s="33"/>
      <c r="AKP12" s="33"/>
      <c r="AKQ12" s="33"/>
      <c r="AKR12" s="33"/>
      <c r="AKS12" s="33"/>
      <c r="AKT12" s="33"/>
      <c r="AKU12" s="33"/>
      <c r="AKV12" s="33"/>
      <c r="AKW12" s="33"/>
      <c r="AKX12" s="33"/>
      <c r="AKY12" s="33"/>
      <c r="AKZ12" s="33"/>
      <c r="ALA12" s="33"/>
      <c r="ALB12" s="33"/>
      <c r="ALC12" s="33"/>
      <c r="ALD12" s="33"/>
      <c r="ALE12" s="33"/>
      <c r="ALF12" s="33"/>
      <c r="ALG12" s="33"/>
      <c r="ALH12" s="33"/>
      <c r="ALI12" s="33"/>
      <c r="ALJ12" s="33"/>
      <c r="ALK12" s="33"/>
      <c r="ALL12" s="33"/>
      <c r="ALM12" s="33"/>
      <c r="ALN12" s="33"/>
      <c r="ALO12" s="33"/>
      <c r="ALP12" s="33"/>
      <c r="ALQ12" s="33"/>
      <c r="ALR12" s="33"/>
      <c r="ALS12" s="33"/>
      <c r="ALT12" s="33"/>
      <c r="ALU12" s="33"/>
      <c r="ALV12" s="33"/>
      <c r="ALW12" s="33"/>
      <c r="ALX12" s="33"/>
      <c r="ALY12" s="33"/>
      <c r="ALZ12" s="33"/>
      <c r="AMA12" s="33"/>
      <c r="AMB12" s="33"/>
      <c r="AMC12" s="33"/>
      <c r="AMD12" s="33"/>
      <c r="AME12" s="33"/>
      <c r="AMF12" s="33"/>
      <c r="AMG12" s="33"/>
      <c r="AMH12" s="33"/>
      <c r="AMI12" s="33"/>
      <c r="AMJ12" s="33"/>
      <c r="AMK12" s="33"/>
      <c r="AML12" s="33"/>
      <c r="AMM12" s="33"/>
      <c r="AMN12" s="33"/>
      <c r="AMO12" s="33"/>
      <c r="AMP12" s="33"/>
      <c r="AMQ12" s="33"/>
      <c r="AMR12" s="33"/>
      <c r="AMS12" s="33"/>
      <c r="AMT12" s="33"/>
      <c r="AMU12" s="33"/>
      <c r="AMV12" s="33"/>
      <c r="AMW12" s="33"/>
      <c r="AMX12" s="33"/>
      <c r="AMY12" s="33"/>
      <c r="AMZ12" s="33"/>
      <c r="ANA12" s="33"/>
      <c r="ANB12" s="33"/>
      <c r="ANC12" s="33"/>
      <c r="AND12" s="33"/>
      <c r="ANE12" s="33"/>
      <c r="ANF12" s="33"/>
      <c r="ANG12" s="33"/>
      <c r="ANH12" s="33"/>
      <c r="ANI12" s="33"/>
      <c r="ANJ12" s="33"/>
      <c r="ANK12" s="33"/>
      <c r="ANL12" s="33"/>
      <c r="ANM12" s="33"/>
      <c r="ANN12" s="33"/>
      <c r="ANO12" s="33"/>
      <c r="ANP12" s="33"/>
      <c r="ANQ12" s="33"/>
      <c r="ANR12" s="33"/>
      <c r="ANS12" s="33"/>
      <c r="ANT12" s="33"/>
      <c r="ANU12" s="33"/>
      <c r="ANV12" s="33"/>
      <c r="ANW12" s="33"/>
      <c r="ANX12" s="33"/>
      <c r="ANY12" s="33"/>
      <c r="ANZ12" s="33"/>
      <c r="AOA12" s="33"/>
      <c r="AOB12" s="33"/>
      <c r="AOC12" s="33"/>
      <c r="AOD12" s="33"/>
      <c r="AOE12" s="33"/>
      <c r="AOF12" s="33"/>
      <c r="AOG12" s="33"/>
      <c r="AOH12" s="33"/>
      <c r="AOI12" s="33"/>
      <c r="AOJ12" s="33"/>
      <c r="AOK12" s="33"/>
      <c r="AOL12" s="33"/>
      <c r="AOM12" s="33"/>
      <c r="AON12" s="33"/>
      <c r="AOO12" s="33"/>
      <c r="AOP12" s="33"/>
      <c r="AOQ12" s="33"/>
      <c r="AOR12" s="33"/>
      <c r="AOS12" s="33"/>
      <c r="AOT12" s="33"/>
      <c r="AOU12" s="33"/>
      <c r="AOV12" s="33"/>
      <c r="AOW12" s="33"/>
      <c r="AOX12" s="33"/>
      <c r="AOY12" s="33"/>
      <c r="AOZ12" s="33"/>
      <c r="APA12" s="33"/>
      <c r="APB12" s="33"/>
      <c r="APC12" s="33"/>
      <c r="APD12" s="33"/>
      <c r="APE12" s="33"/>
      <c r="APF12" s="33"/>
      <c r="APG12" s="33"/>
      <c r="APH12" s="33"/>
      <c r="API12" s="33"/>
      <c r="APJ12" s="33"/>
      <c r="APK12" s="33"/>
      <c r="APL12" s="33"/>
      <c r="APM12" s="33"/>
      <c r="APN12" s="33"/>
      <c r="APO12" s="33"/>
      <c r="APP12" s="33"/>
      <c r="APQ12" s="33"/>
      <c r="APR12" s="33"/>
      <c r="APS12" s="33"/>
      <c r="APT12" s="33"/>
      <c r="APU12" s="33"/>
      <c r="APV12" s="33"/>
      <c r="APW12" s="33"/>
      <c r="APX12" s="33"/>
      <c r="APY12" s="33"/>
      <c r="APZ12" s="33"/>
      <c r="AQA12" s="33"/>
      <c r="AQB12" s="33"/>
      <c r="AQC12" s="33"/>
      <c r="AQD12" s="33"/>
      <c r="AQE12" s="33"/>
      <c r="AQF12" s="33"/>
      <c r="AQG12" s="33"/>
      <c r="AQH12" s="33"/>
      <c r="AQI12" s="33"/>
      <c r="AQJ12" s="33"/>
      <c r="AQK12" s="33"/>
      <c r="AQL12" s="33"/>
      <c r="AQM12" s="33"/>
      <c r="AQN12" s="33"/>
      <c r="AQO12" s="33"/>
      <c r="AQP12" s="33"/>
      <c r="AQQ12" s="33"/>
      <c r="AQR12" s="33"/>
      <c r="AQS12" s="33"/>
      <c r="AQT12" s="33"/>
      <c r="AQU12" s="33"/>
      <c r="AQV12" s="33"/>
      <c r="AQW12" s="33"/>
      <c r="AQX12" s="33"/>
      <c r="AQY12" s="33"/>
      <c r="AQZ12" s="33"/>
      <c r="ARA12" s="33"/>
      <c r="ARB12" s="33"/>
      <c r="ARC12" s="33"/>
      <c r="ARD12" s="33"/>
      <c r="ARE12" s="33"/>
      <c r="ARF12" s="33"/>
      <c r="ARG12" s="33"/>
      <c r="ARH12" s="33"/>
      <c r="ARI12" s="33"/>
      <c r="ARJ12" s="33"/>
      <c r="ARK12" s="33"/>
      <c r="ARL12" s="33"/>
      <c r="ARM12" s="33"/>
      <c r="ARN12" s="33"/>
      <c r="ARO12" s="33"/>
      <c r="ARP12" s="33"/>
      <c r="ARQ12" s="33"/>
      <c r="ARR12" s="33"/>
      <c r="ARS12" s="33"/>
      <c r="ART12" s="33"/>
      <c r="ARU12" s="33"/>
      <c r="ARV12" s="33"/>
      <c r="ARW12" s="33"/>
      <c r="ARX12" s="33"/>
      <c r="ARY12" s="33"/>
      <c r="ARZ12" s="33"/>
      <c r="ASA12" s="33"/>
      <c r="ASB12" s="33"/>
      <c r="ASC12" s="33"/>
      <c r="ASD12" s="33"/>
      <c r="ASE12" s="33"/>
      <c r="ASF12" s="33"/>
      <c r="ASG12" s="33"/>
      <c r="ASH12" s="33"/>
      <c r="ASI12" s="33"/>
      <c r="ASJ12" s="33"/>
      <c r="ASK12" s="33"/>
      <c r="ASL12" s="33"/>
      <c r="ASM12" s="33"/>
      <c r="ASN12" s="33"/>
      <c r="ASO12" s="33"/>
      <c r="ASP12" s="33"/>
      <c r="ASQ12" s="33"/>
      <c r="ASR12" s="33"/>
      <c r="ASS12" s="33"/>
      <c r="AST12" s="33"/>
      <c r="ASU12" s="33"/>
      <c r="ASV12" s="33"/>
      <c r="ASW12" s="33"/>
      <c r="ASX12" s="33"/>
      <c r="ASY12" s="33"/>
      <c r="ASZ12" s="33"/>
      <c r="ATA12" s="33"/>
      <c r="ATB12" s="33"/>
      <c r="ATC12" s="33"/>
      <c r="ATD12" s="33"/>
      <c r="ATE12" s="33"/>
      <c r="ATF12" s="33"/>
      <c r="ATG12" s="33"/>
      <c r="ATH12" s="33"/>
      <c r="ATI12" s="33"/>
      <c r="ATJ12" s="33"/>
      <c r="ATK12" s="33"/>
      <c r="ATL12" s="33"/>
      <c r="ATM12" s="33"/>
      <c r="ATN12" s="33"/>
      <c r="ATO12" s="33"/>
      <c r="ATP12" s="33"/>
      <c r="ATQ12" s="33"/>
      <c r="ATR12" s="33"/>
      <c r="ATS12" s="33"/>
      <c r="ATT12" s="33"/>
      <c r="ATU12" s="33"/>
      <c r="ATV12" s="33"/>
      <c r="ATW12" s="33"/>
      <c r="ATX12" s="33"/>
      <c r="ATY12" s="33"/>
      <c r="ATZ12" s="33"/>
      <c r="AUA12" s="33"/>
      <c r="AUB12" s="33"/>
      <c r="AUC12" s="33"/>
      <c r="AUD12" s="33"/>
      <c r="AUE12" s="33"/>
      <c r="AUF12" s="33"/>
      <c r="AUG12" s="33"/>
      <c r="AUH12" s="33"/>
      <c r="AUI12" s="33"/>
      <c r="AUJ12" s="33"/>
      <c r="AUK12" s="33"/>
      <c r="AUL12" s="33"/>
      <c r="AUM12" s="33"/>
      <c r="AUN12" s="33"/>
      <c r="AUO12" s="33"/>
      <c r="AUP12" s="33"/>
      <c r="AUQ12" s="33"/>
      <c r="AUR12" s="33"/>
      <c r="AUS12" s="33"/>
      <c r="AUT12" s="33"/>
      <c r="AUU12" s="33"/>
      <c r="AUV12" s="33"/>
      <c r="AUW12" s="33"/>
      <c r="AUX12" s="33"/>
      <c r="AUY12" s="33"/>
      <c r="AUZ12" s="33"/>
      <c r="AVA12" s="33"/>
      <c r="AVB12" s="33"/>
      <c r="AVC12" s="33"/>
      <c r="AVD12" s="33"/>
      <c r="AVE12" s="33"/>
      <c r="AVF12" s="33"/>
      <c r="AVG12" s="33"/>
      <c r="AVH12" s="33"/>
      <c r="AVI12" s="33"/>
      <c r="AVJ12" s="33"/>
      <c r="AVK12" s="33"/>
      <c r="AVL12" s="33"/>
      <c r="AVM12" s="33"/>
      <c r="AVN12" s="33"/>
      <c r="AVO12" s="33"/>
      <c r="AVP12" s="33"/>
      <c r="AVQ12" s="33"/>
      <c r="AVR12" s="33"/>
      <c r="AVS12" s="33"/>
      <c r="AVT12" s="33"/>
      <c r="AVU12" s="33"/>
      <c r="AVV12" s="33"/>
      <c r="AVW12" s="33"/>
      <c r="AVX12" s="33"/>
      <c r="AVY12" s="33"/>
      <c r="AVZ12" s="33"/>
      <c r="AWA12" s="33"/>
      <c r="AWB12" s="33"/>
      <c r="AWC12" s="33"/>
      <c r="AWD12" s="33"/>
      <c r="AWE12" s="33"/>
      <c r="AWF12" s="33"/>
      <c r="AWG12" s="33"/>
      <c r="AWH12" s="33"/>
      <c r="AWI12" s="33"/>
      <c r="AWJ12" s="33"/>
      <c r="AWK12" s="33"/>
      <c r="AWL12" s="33"/>
      <c r="AWM12" s="33"/>
      <c r="AWN12" s="33"/>
      <c r="AWO12" s="33"/>
      <c r="AWP12" s="33"/>
      <c r="AWQ12" s="33"/>
      <c r="AWR12" s="33"/>
      <c r="AWS12" s="33"/>
      <c r="AWT12" s="33"/>
      <c r="AWU12" s="33"/>
      <c r="AWV12" s="33"/>
      <c r="AWW12" s="33"/>
      <c r="AWX12" s="33"/>
      <c r="AWY12" s="33"/>
      <c r="AWZ12" s="33"/>
      <c r="AXA12" s="33"/>
      <c r="AXB12" s="33"/>
      <c r="AXC12" s="33"/>
      <c r="AXD12" s="33"/>
      <c r="AXE12" s="33"/>
      <c r="AXF12" s="33"/>
      <c r="AXG12" s="33"/>
      <c r="AXH12" s="33"/>
      <c r="AXI12" s="33"/>
      <c r="AXJ12" s="33"/>
      <c r="AXK12" s="33"/>
      <c r="AXL12" s="33"/>
      <c r="AXM12" s="33"/>
      <c r="AXN12" s="33"/>
      <c r="AXO12" s="33"/>
      <c r="AXP12" s="33"/>
      <c r="AXQ12" s="33"/>
      <c r="AXR12" s="33"/>
      <c r="AXS12" s="33"/>
      <c r="AXT12" s="33"/>
      <c r="AXU12" s="33"/>
      <c r="AXV12" s="33"/>
      <c r="AXW12" s="33"/>
      <c r="AXX12" s="33"/>
      <c r="AXY12" s="33"/>
      <c r="AXZ12" s="33"/>
      <c r="AYA12" s="33"/>
      <c r="AYB12" s="33"/>
      <c r="AYC12" s="33"/>
      <c r="AYD12" s="33"/>
      <c r="AYE12" s="33"/>
      <c r="AYF12" s="33"/>
      <c r="AYG12" s="33"/>
      <c r="AYH12" s="33"/>
      <c r="AYI12" s="33"/>
      <c r="AYJ12" s="33"/>
      <c r="AYK12" s="33"/>
      <c r="AYL12" s="33"/>
      <c r="AYM12" s="33"/>
      <c r="AYN12" s="33"/>
      <c r="AYO12" s="33"/>
      <c r="AYP12" s="33"/>
      <c r="AYQ12" s="33"/>
      <c r="AYR12" s="33"/>
      <c r="AYS12" s="33"/>
      <c r="AYT12" s="33"/>
      <c r="AYU12" s="33"/>
      <c r="AYV12" s="33"/>
      <c r="AYW12" s="33"/>
      <c r="AYX12" s="33"/>
      <c r="AYY12" s="33"/>
      <c r="AYZ12" s="33"/>
      <c r="AZA12" s="33"/>
      <c r="AZB12" s="33"/>
      <c r="AZC12" s="33"/>
      <c r="AZD12" s="33"/>
      <c r="AZE12" s="33"/>
      <c r="AZF12" s="33"/>
      <c r="AZG12" s="33"/>
      <c r="AZH12" s="33"/>
      <c r="AZI12" s="33"/>
      <c r="AZJ12" s="33"/>
      <c r="AZK12" s="33"/>
      <c r="AZL12" s="33"/>
      <c r="AZM12" s="33"/>
      <c r="AZN12" s="33"/>
      <c r="AZO12" s="33"/>
      <c r="AZP12" s="33"/>
      <c r="AZQ12" s="33"/>
      <c r="AZR12" s="33"/>
      <c r="AZS12" s="33"/>
      <c r="AZT12" s="33"/>
      <c r="AZU12" s="33"/>
      <c r="AZV12" s="33"/>
      <c r="AZW12" s="33"/>
      <c r="AZX12" s="33"/>
      <c r="AZY12" s="33"/>
      <c r="AZZ12" s="33"/>
      <c r="BAA12" s="33"/>
      <c r="BAB12" s="33"/>
      <c r="BAC12" s="33"/>
      <c r="BAD12" s="33"/>
      <c r="BAE12" s="33"/>
      <c r="BAF12" s="33"/>
      <c r="BAG12" s="33"/>
      <c r="BAH12" s="33"/>
      <c r="BAI12" s="33"/>
      <c r="BAJ12" s="33"/>
      <c r="BAK12" s="33"/>
      <c r="BAL12" s="33"/>
      <c r="BAM12" s="33"/>
      <c r="BAN12" s="33"/>
      <c r="BAO12" s="33"/>
      <c r="BAP12" s="33"/>
      <c r="BAQ12" s="33"/>
      <c r="BAR12" s="33"/>
      <c r="BAS12" s="33"/>
      <c r="BAT12" s="33"/>
      <c r="BAU12" s="33"/>
      <c r="BAV12" s="33"/>
      <c r="BAW12" s="33"/>
      <c r="BAX12" s="33"/>
      <c r="BAY12" s="33"/>
      <c r="BAZ12" s="33"/>
      <c r="BBA12" s="33"/>
      <c r="BBB12" s="33"/>
      <c r="BBC12" s="33"/>
      <c r="BBD12" s="33"/>
      <c r="BBE12" s="33"/>
      <c r="BBF12" s="33"/>
      <c r="BBG12" s="33"/>
      <c r="BBH12" s="33"/>
      <c r="BBI12" s="33"/>
      <c r="BBJ12" s="33"/>
      <c r="BBK12" s="33"/>
      <c r="BBL12" s="33"/>
      <c r="BBM12" s="33"/>
      <c r="BBN12" s="33"/>
      <c r="BBO12" s="33"/>
      <c r="BBP12" s="33"/>
      <c r="BBQ12" s="33"/>
      <c r="BBR12" s="33"/>
      <c r="BBS12" s="33"/>
      <c r="BBT12" s="33"/>
      <c r="BBU12" s="33"/>
      <c r="BBV12" s="33"/>
      <c r="BBW12" s="33"/>
      <c r="BBX12" s="33"/>
      <c r="BBY12" s="33"/>
      <c r="BBZ12" s="33"/>
      <c r="BCA12" s="33"/>
      <c r="BCB12" s="33"/>
      <c r="BCC12" s="33"/>
      <c r="BCD12" s="33"/>
      <c r="BCE12" s="33"/>
      <c r="BCF12" s="33"/>
      <c r="BCG12" s="33"/>
      <c r="BCH12" s="33"/>
      <c r="BCI12" s="33"/>
      <c r="BCJ12" s="33"/>
      <c r="BCK12" s="33"/>
      <c r="BCL12" s="33"/>
      <c r="BCM12" s="33"/>
      <c r="BCN12" s="33"/>
      <c r="BCO12" s="33"/>
      <c r="BCP12" s="33"/>
      <c r="BCQ12" s="33"/>
      <c r="BCR12" s="33"/>
      <c r="BCS12" s="33"/>
      <c r="BCT12" s="33"/>
      <c r="BCU12" s="33"/>
      <c r="BCV12" s="33"/>
      <c r="BCW12" s="33"/>
      <c r="BCX12" s="33"/>
      <c r="BCY12" s="33"/>
      <c r="BCZ12" s="33"/>
      <c r="BDA12" s="33"/>
      <c r="BDB12" s="33"/>
      <c r="BDC12" s="33"/>
      <c r="BDD12" s="33"/>
      <c r="BDE12" s="33"/>
      <c r="BDF12" s="33"/>
      <c r="BDG12" s="33"/>
      <c r="BDH12" s="33"/>
      <c r="BDI12" s="33"/>
      <c r="BDJ12" s="33"/>
      <c r="BDK12" s="33"/>
      <c r="BDL12" s="33"/>
      <c r="BDM12" s="33"/>
      <c r="BDN12" s="33"/>
      <c r="BDO12" s="33"/>
      <c r="BDP12" s="33"/>
      <c r="BDQ12" s="33"/>
      <c r="BDR12" s="33"/>
      <c r="BDS12" s="33"/>
      <c r="BDT12" s="33"/>
      <c r="BDU12" s="33"/>
      <c r="BDV12" s="33"/>
      <c r="BDW12" s="33"/>
      <c r="BDX12" s="33"/>
      <c r="BDY12" s="33"/>
      <c r="BDZ12" s="33"/>
      <c r="BEA12" s="33"/>
      <c r="BEB12" s="33"/>
      <c r="BEC12" s="33"/>
      <c r="BED12" s="33"/>
      <c r="BEE12" s="33"/>
      <c r="BEF12" s="33"/>
      <c r="BEG12" s="33"/>
      <c r="BEH12" s="33"/>
      <c r="BEI12" s="33"/>
      <c r="BEJ12" s="33"/>
      <c r="BEK12" s="33"/>
      <c r="BEL12" s="33"/>
      <c r="BEM12" s="33"/>
      <c r="BEN12" s="33"/>
      <c r="BEO12" s="33"/>
      <c r="BEP12" s="33"/>
      <c r="BEQ12" s="33"/>
      <c r="BER12" s="33"/>
      <c r="BES12" s="33"/>
      <c r="BET12" s="33"/>
      <c r="BEU12" s="33"/>
      <c r="BEV12" s="33"/>
      <c r="BEW12" s="33"/>
      <c r="BEX12" s="33"/>
      <c r="BEY12" s="33"/>
      <c r="BEZ12" s="33"/>
      <c r="BFA12" s="33"/>
      <c r="BFB12" s="33"/>
      <c r="BFC12" s="33"/>
      <c r="BFD12" s="33"/>
      <c r="BFE12" s="33"/>
      <c r="BFF12" s="33"/>
      <c r="BFG12" s="33"/>
      <c r="BFH12" s="33"/>
      <c r="BFI12" s="33"/>
      <c r="BFJ12" s="33"/>
      <c r="BFK12" s="33"/>
      <c r="BFL12" s="33"/>
      <c r="BFM12" s="33"/>
      <c r="BFN12" s="33"/>
      <c r="BFO12" s="33"/>
      <c r="BFP12" s="33"/>
      <c r="BFQ12" s="33"/>
      <c r="BFR12" s="33"/>
      <c r="BFS12" s="33"/>
      <c r="BFT12" s="33"/>
      <c r="BFU12" s="33"/>
      <c r="BFV12" s="33"/>
      <c r="BFW12" s="33"/>
      <c r="BFX12" s="33"/>
      <c r="BFY12" s="33"/>
      <c r="BFZ12" s="33"/>
      <c r="BGA12" s="33"/>
      <c r="BGB12" s="33"/>
      <c r="BGC12" s="33"/>
      <c r="BGD12" s="33"/>
      <c r="BGE12" s="33"/>
      <c r="BGF12" s="33"/>
      <c r="BGG12" s="33"/>
      <c r="BGH12" s="33"/>
      <c r="BGI12" s="33"/>
      <c r="BGJ12" s="33"/>
      <c r="BGK12" s="33"/>
      <c r="BGL12" s="33"/>
      <c r="BGM12" s="33"/>
      <c r="BGN12" s="33"/>
      <c r="BGO12" s="33"/>
      <c r="BGP12" s="33"/>
      <c r="BGQ12" s="33"/>
      <c r="BGR12" s="33"/>
      <c r="BGS12" s="33"/>
      <c r="BGT12" s="33"/>
      <c r="BGU12" s="33"/>
      <c r="BGV12" s="33"/>
      <c r="BGW12" s="33"/>
      <c r="BGX12" s="33"/>
      <c r="BGY12" s="33"/>
      <c r="BGZ12" s="33"/>
      <c r="BHA12" s="33"/>
      <c r="BHB12" s="33"/>
      <c r="BHC12" s="33"/>
      <c r="BHD12" s="33"/>
      <c r="BHE12" s="33"/>
      <c r="BHF12" s="33"/>
      <c r="BHG12" s="33"/>
      <c r="BHH12" s="33"/>
      <c r="BHI12" s="33"/>
      <c r="BHJ12" s="33"/>
      <c r="BHK12" s="33"/>
      <c r="BHL12" s="33"/>
      <c r="BHM12" s="33"/>
      <c r="BHN12" s="33"/>
      <c r="BHO12" s="33"/>
      <c r="BHP12" s="33"/>
      <c r="BHQ12" s="33"/>
      <c r="BHR12" s="33"/>
      <c r="BHS12" s="33"/>
      <c r="BHT12" s="33"/>
      <c r="BHU12" s="33"/>
      <c r="BHV12" s="33"/>
      <c r="BHW12" s="33"/>
      <c r="BHX12" s="33"/>
      <c r="BHY12" s="33"/>
      <c r="BHZ12" s="33"/>
      <c r="BIA12" s="33"/>
      <c r="BIB12" s="33"/>
      <c r="BIC12" s="33"/>
      <c r="BID12" s="33"/>
      <c r="BIE12" s="33"/>
      <c r="BIF12" s="33"/>
      <c r="BIG12" s="33"/>
      <c r="BIH12" s="33"/>
      <c r="BII12" s="33"/>
      <c r="BIJ12" s="33"/>
      <c r="BIK12" s="33"/>
      <c r="BIL12" s="33"/>
      <c r="BIM12" s="33"/>
      <c r="BIN12" s="33"/>
      <c r="BIO12" s="33"/>
      <c r="BIP12" s="33"/>
      <c r="BIQ12" s="33"/>
      <c r="BIR12" s="33"/>
      <c r="BIS12" s="33"/>
      <c r="BIT12" s="33"/>
      <c r="BIU12" s="33"/>
      <c r="BIV12" s="33"/>
      <c r="BIW12" s="33"/>
      <c r="BIX12" s="33"/>
      <c r="BIY12" s="33"/>
      <c r="BIZ12" s="33"/>
      <c r="BJA12" s="33"/>
      <c r="BJB12" s="33"/>
      <c r="BJC12" s="33"/>
      <c r="BJD12" s="33"/>
      <c r="BJE12" s="33"/>
      <c r="BJF12" s="33"/>
      <c r="BJG12" s="33"/>
      <c r="BJH12" s="33"/>
      <c r="BJI12" s="33"/>
      <c r="BJJ12" s="33"/>
      <c r="BJK12" s="33"/>
      <c r="BJL12" s="33"/>
      <c r="BJM12" s="33"/>
      <c r="BJN12" s="33"/>
      <c r="BJO12" s="33"/>
      <c r="BJP12" s="33"/>
      <c r="BJQ12" s="33"/>
      <c r="BJR12" s="33"/>
      <c r="BJS12" s="33"/>
      <c r="BJT12" s="33"/>
      <c r="BJU12" s="33"/>
      <c r="BJV12" s="33"/>
      <c r="BJW12" s="33"/>
      <c r="BJX12" s="33"/>
      <c r="BJY12" s="33"/>
      <c r="BJZ12" s="33"/>
      <c r="BKA12" s="33"/>
      <c r="BKB12" s="33"/>
      <c r="BKC12" s="33"/>
      <c r="BKD12" s="33"/>
      <c r="BKE12" s="33"/>
      <c r="BKF12" s="33"/>
      <c r="BKG12" s="33"/>
      <c r="BKH12" s="33"/>
      <c r="BKI12" s="33"/>
      <c r="BKJ12" s="33"/>
      <c r="BKK12" s="33"/>
      <c r="BKL12" s="33"/>
      <c r="BKM12" s="33"/>
      <c r="BKN12" s="33"/>
      <c r="BKO12" s="33"/>
      <c r="BKP12" s="33"/>
      <c r="BKQ12" s="33"/>
      <c r="BKR12" s="33"/>
      <c r="BKS12" s="33"/>
      <c r="BKT12" s="33"/>
      <c r="BKU12" s="33"/>
      <c r="BKV12" s="33"/>
      <c r="BKW12" s="33"/>
      <c r="BKX12" s="33"/>
      <c r="BKY12" s="33"/>
      <c r="BKZ12" s="33"/>
      <c r="BLA12" s="33"/>
      <c r="BLB12" s="33"/>
      <c r="BLC12" s="33"/>
      <c r="BLD12" s="33"/>
      <c r="BLE12" s="33"/>
      <c r="BLF12" s="33"/>
      <c r="BLG12" s="33"/>
      <c r="BLH12" s="33"/>
      <c r="BLI12" s="33"/>
      <c r="BLJ12" s="33"/>
      <c r="BLK12" s="33"/>
      <c r="BLL12" s="33"/>
      <c r="BLM12" s="33"/>
      <c r="BLN12" s="33"/>
      <c r="BLO12" s="33"/>
      <c r="BLP12" s="33"/>
      <c r="BLQ12" s="33"/>
      <c r="BLR12" s="33"/>
      <c r="BLS12" s="33"/>
      <c r="BLT12" s="33"/>
      <c r="BLU12" s="33"/>
      <c r="BLV12" s="33"/>
      <c r="BLW12" s="33"/>
      <c r="BLX12" s="33"/>
      <c r="BLY12" s="33"/>
      <c r="BLZ12" s="33"/>
      <c r="BMA12" s="33"/>
      <c r="BMB12" s="33"/>
      <c r="BMC12" s="33"/>
      <c r="BMD12" s="33"/>
      <c r="BME12" s="33"/>
      <c r="BMF12" s="33"/>
      <c r="BMG12" s="33"/>
      <c r="BMH12" s="33"/>
      <c r="BMI12" s="33"/>
      <c r="BMJ12" s="33"/>
      <c r="BMK12" s="33"/>
      <c r="BML12" s="33"/>
      <c r="BMM12" s="33"/>
      <c r="BMN12" s="33"/>
      <c r="BMO12" s="33"/>
      <c r="BMP12" s="33"/>
      <c r="BMQ12" s="33"/>
      <c r="BMR12" s="33"/>
      <c r="BMS12" s="33"/>
      <c r="BMT12" s="33"/>
      <c r="BMU12" s="33"/>
      <c r="BMV12" s="33"/>
      <c r="BMW12" s="33"/>
      <c r="BMX12" s="33"/>
      <c r="BMY12" s="33"/>
      <c r="BMZ12" s="33"/>
      <c r="BNA12" s="33"/>
      <c r="BNB12" s="33"/>
      <c r="BNC12" s="33"/>
      <c r="BND12" s="33"/>
      <c r="BNE12" s="33"/>
      <c r="BNF12" s="33"/>
      <c r="BNG12" s="33"/>
      <c r="BNH12" s="33"/>
      <c r="BNI12" s="33"/>
      <c r="BNJ12" s="33"/>
      <c r="BNK12" s="33"/>
      <c r="BNL12" s="33"/>
      <c r="BNM12" s="33"/>
      <c r="BNN12" s="33"/>
      <c r="BNO12" s="33"/>
      <c r="BNP12" s="33"/>
      <c r="BNQ12" s="33"/>
      <c r="BNR12" s="33"/>
      <c r="BNS12" s="33"/>
      <c r="BNT12" s="33"/>
      <c r="BNU12" s="33"/>
      <c r="BNV12" s="33"/>
      <c r="BNW12" s="33"/>
      <c r="BNX12" s="33"/>
      <c r="BNY12" s="33"/>
      <c r="BNZ12" s="33"/>
      <c r="BOA12" s="33"/>
      <c r="BOB12" s="33"/>
      <c r="BOC12" s="33"/>
      <c r="BOD12" s="33"/>
      <c r="BOE12" s="33"/>
      <c r="BOF12" s="33"/>
      <c r="BOG12" s="33"/>
      <c r="BOH12" s="33"/>
      <c r="BOI12" s="33"/>
      <c r="BOJ12" s="33"/>
      <c r="BOK12" s="33"/>
      <c r="BOL12" s="33"/>
      <c r="BOM12" s="33"/>
      <c r="BON12" s="33"/>
      <c r="BOO12" s="33"/>
      <c r="BOP12" s="33"/>
      <c r="BOQ12" s="33"/>
      <c r="BOR12" s="33"/>
      <c r="BOS12" s="33"/>
      <c r="BOT12" s="33"/>
      <c r="BOU12" s="33"/>
      <c r="BOV12" s="33"/>
      <c r="BOW12" s="33"/>
      <c r="BOX12" s="33"/>
      <c r="BOY12" s="33"/>
      <c r="BOZ12" s="33"/>
      <c r="BPA12" s="33"/>
      <c r="BPB12" s="33"/>
      <c r="BPC12" s="33"/>
      <c r="BPD12" s="33"/>
      <c r="BPE12" s="33"/>
      <c r="BPF12" s="33"/>
      <c r="BPG12" s="33"/>
      <c r="BPH12" s="33"/>
      <c r="BPI12" s="33"/>
      <c r="BPJ12" s="33"/>
      <c r="BPK12" s="33"/>
      <c r="BPL12" s="33"/>
      <c r="BPM12" s="33"/>
      <c r="BPN12" s="33"/>
      <c r="BPO12" s="33"/>
      <c r="BPP12" s="33"/>
      <c r="BPQ12" s="33"/>
      <c r="BPR12" s="33"/>
      <c r="BPS12" s="33"/>
      <c r="BPT12" s="33"/>
      <c r="BPU12" s="33"/>
      <c r="BPV12" s="33"/>
      <c r="BPW12" s="33"/>
      <c r="BPX12" s="33"/>
      <c r="BPY12" s="33"/>
      <c r="BPZ12" s="33"/>
      <c r="BQA12" s="33"/>
      <c r="BQB12" s="33"/>
      <c r="BQC12" s="33"/>
      <c r="BQD12" s="33"/>
      <c r="BQE12" s="33"/>
      <c r="BQF12" s="33"/>
      <c r="BQG12" s="33"/>
      <c r="BQH12" s="33"/>
      <c r="BQI12" s="33"/>
      <c r="BQJ12" s="33"/>
      <c r="BQK12" s="33"/>
      <c r="BQL12" s="33"/>
      <c r="BQM12" s="33"/>
      <c r="BQN12" s="33"/>
      <c r="BQO12" s="33"/>
      <c r="BQP12" s="33"/>
      <c r="BQQ12" s="33"/>
      <c r="BQR12" s="33"/>
      <c r="BQS12" s="33"/>
      <c r="BQT12" s="33"/>
      <c r="BQU12" s="33"/>
      <c r="BQV12" s="33"/>
      <c r="BQW12" s="33"/>
      <c r="BQX12" s="33"/>
      <c r="BQY12" s="33"/>
      <c r="BQZ12" s="33"/>
      <c r="BRA12" s="33"/>
      <c r="BRB12" s="33"/>
      <c r="BRC12" s="33"/>
      <c r="BRD12" s="33"/>
      <c r="BRE12" s="33"/>
      <c r="BRF12" s="33"/>
      <c r="BRG12" s="33"/>
      <c r="BRH12" s="33"/>
      <c r="BRI12" s="33"/>
      <c r="BRJ12" s="33"/>
      <c r="BRK12" s="33"/>
      <c r="BRL12" s="33"/>
      <c r="BRM12" s="33"/>
      <c r="BRN12" s="33"/>
      <c r="BRO12" s="33"/>
      <c r="BRP12" s="33"/>
      <c r="BRQ12" s="33"/>
      <c r="BRR12" s="33"/>
      <c r="BRS12" s="33"/>
      <c r="BRT12" s="33"/>
      <c r="BRU12" s="33"/>
      <c r="BRV12" s="33"/>
      <c r="BRW12" s="33"/>
      <c r="BRX12" s="33"/>
      <c r="BRY12" s="33"/>
      <c r="BRZ12" s="33"/>
      <c r="BSA12" s="33"/>
      <c r="BSB12" s="33"/>
      <c r="BSC12" s="33"/>
      <c r="BSD12" s="33"/>
      <c r="BSE12" s="33"/>
      <c r="BSF12" s="33"/>
      <c r="BSG12" s="33"/>
      <c r="BSH12" s="33"/>
      <c r="BSI12" s="33"/>
      <c r="BSJ12" s="33"/>
      <c r="BSK12" s="33"/>
      <c r="BSL12" s="33"/>
      <c r="BSM12" s="33"/>
      <c r="BSN12" s="33"/>
      <c r="BSO12" s="33"/>
      <c r="BSP12" s="33"/>
      <c r="BSQ12" s="33"/>
      <c r="BSR12" s="33"/>
      <c r="BSS12" s="33"/>
      <c r="BST12" s="33"/>
      <c r="BSU12" s="33"/>
      <c r="BSV12" s="33"/>
      <c r="BSW12" s="33"/>
      <c r="BSX12" s="33"/>
      <c r="BSY12" s="33"/>
      <c r="BSZ12" s="33"/>
      <c r="BTA12" s="33"/>
      <c r="BTB12" s="33"/>
      <c r="BTC12" s="33"/>
      <c r="BTD12" s="33"/>
      <c r="BTE12" s="33"/>
      <c r="BTF12" s="33"/>
      <c r="BTG12" s="33"/>
      <c r="BTH12" s="33"/>
      <c r="BTI12" s="33"/>
      <c r="BTJ12" s="33"/>
      <c r="BTK12" s="33"/>
      <c r="BTL12" s="33"/>
      <c r="BTM12" s="33"/>
      <c r="BTN12" s="33"/>
      <c r="BTO12" s="33"/>
      <c r="BTP12" s="33"/>
      <c r="BTQ12" s="33"/>
      <c r="BTR12" s="33"/>
      <c r="BTS12" s="33"/>
      <c r="BTT12" s="33"/>
      <c r="BTU12" s="33"/>
      <c r="BTV12" s="33"/>
      <c r="BTW12" s="33"/>
      <c r="BTX12" s="33"/>
      <c r="BTY12" s="33"/>
      <c r="BTZ12" s="33"/>
      <c r="BUA12" s="33"/>
      <c r="BUB12" s="33"/>
      <c r="BUC12" s="33"/>
      <c r="BUD12" s="33"/>
      <c r="BUE12" s="33"/>
      <c r="BUF12" s="33"/>
      <c r="BUG12" s="33"/>
      <c r="BUH12" s="33"/>
      <c r="BUI12" s="33"/>
      <c r="BUJ12" s="33"/>
      <c r="BUK12" s="33"/>
      <c r="BUL12" s="33"/>
      <c r="BUM12" s="33"/>
      <c r="BUN12" s="33"/>
      <c r="BUO12" s="33"/>
      <c r="BUP12" s="33"/>
      <c r="BUQ12" s="33"/>
      <c r="BUR12" s="33"/>
      <c r="BUS12" s="33"/>
      <c r="BUT12" s="33"/>
      <c r="BUU12" s="33"/>
      <c r="BUV12" s="33"/>
      <c r="BUW12" s="33"/>
      <c r="BUX12" s="33"/>
      <c r="BUY12" s="33"/>
      <c r="BUZ12" s="33"/>
      <c r="BVA12" s="33"/>
      <c r="BVB12" s="33"/>
      <c r="BVC12" s="33"/>
      <c r="BVD12" s="33"/>
      <c r="BVE12" s="33"/>
      <c r="BVF12" s="33"/>
      <c r="BVG12" s="33"/>
      <c r="BVH12" s="33"/>
      <c r="BVI12" s="33"/>
      <c r="BVJ12" s="33"/>
      <c r="BVK12" s="33"/>
      <c r="BVL12" s="33"/>
      <c r="BVM12" s="33"/>
      <c r="BVN12" s="33"/>
      <c r="BVO12" s="33"/>
      <c r="BVP12" s="33"/>
      <c r="BVQ12" s="33"/>
      <c r="BVR12" s="33"/>
      <c r="BVS12" s="33"/>
      <c r="BVT12" s="33"/>
      <c r="BVU12" s="33"/>
      <c r="BVV12" s="33"/>
      <c r="BVW12" s="33"/>
      <c r="BVX12" s="33"/>
      <c r="BVY12" s="33"/>
      <c r="BVZ12" s="33"/>
      <c r="BWA12" s="33"/>
      <c r="BWB12" s="33"/>
      <c r="BWC12" s="33"/>
      <c r="BWD12" s="33"/>
      <c r="BWE12" s="33"/>
      <c r="BWF12" s="33"/>
      <c r="BWG12" s="33"/>
      <c r="BWH12" s="33"/>
      <c r="BWI12" s="33"/>
      <c r="BWJ12" s="33"/>
      <c r="BWK12" s="33"/>
      <c r="BWL12" s="33"/>
      <c r="BWM12" s="33"/>
      <c r="BWN12" s="33"/>
      <c r="BWO12" s="33"/>
      <c r="BWP12" s="33"/>
      <c r="BWQ12" s="33"/>
      <c r="BWR12" s="33"/>
      <c r="BWS12" s="33"/>
      <c r="BWT12" s="33"/>
      <c r="BWU12" s="33"/>
      <c r="BWV12" s="33"/>
      <c r="BWW12" s="33"/>
      <c r="BWX12" s="33"/>
      <c r="BWY12" s="33"/>
      <c r="BWZ12" s="33"/>
      <c r="BXA12" s="33"/>
      <c r="BXB12" s="33"/>
      <c r="BXC12" s="33"/>
      <c r="BXD12" s="33"/>
      <c r="BXE12" s="33"/>
      <c r="BXF12" s="33"/>
      <c r="BXG12" s="33"/>
      <c r="BXH12" s="33"/>
      <c r="BXI12" s="33"/>
      <c r="BXJ12" s="33"/>
      <c r="BXK12" s="33"/>
      <c r="BXL12" s="33"/>
      <c r="BXM12" s="33"/>
      <c r="BXN12" s="33"/>
      <c r="BXO12" s="33"/>
      <c r="BXP12" s="33"/>
      <c r="BXQ12" s="33"/>
      <c r="BXR12" s="33"/>
      <c r="BXS12" s="33"/>
      <c r="BXT12" s="33"/>
      <c r="BXU12" s="33"/>
      <c r="BXV12" s="33"/>
      <c r="BXW12" s="33"/>
      <c r="BXX12" s="33"/>
      <c r="BXY12" s="33"/>
      <c r="BXZ12" s="33"/>
      <c r="BYA12" s="33"/>
      <c r="BYB12" s="33"/>
      <c r="BYC12" s="33"/>
      <c r="BYD12" s="33"/>
      <c r="BYE12" s="33"/>
      <c r="BYF12" s="33"/>
      <c r="BYG12" s="33"/>
      <c r="BYH12" s="33"/>
      <c r="BYI12" s="33"/>
      <c r="BYJ12" s="33"/>
      <c r="BYK12" s="33"/>
      <c r="BYL12" s="33"/>
      <c r="BYM12" s="33"/>
      <c r="BYN12" s="33"/>
      <c r="BYO12" s="33"/>
      <c r="BYP12" s="33"/>
      <c r="BYQ12" s="33"/>
      <c r="BYR12" s="33"/>
      <c r="BYS12" s="33"/>
      <c r="BYT12" s="33"/>
      <c r="BYU12" s="33"/>
      <c r="BYV12" s="33"/>
      <c r="BYW12" s="33"/>
      <c r="BYX12" s="33"/>
      <c r="BYY12" s="33"/>
      <c r="BYZ12" s="33"/>
      <c r="BZA12" s="33"/>
      <c r="BZB12" s="33"/>
      <c r="BZC12" s="33"/>
      <c r="BZD12" s="33"/>
      <c r="BZE12" s="33"/>
      <c r="BZF12" s="33"/>
      <c r="BZG12" s="33"/>
      <c r="BZH12" s="33"/>
      <c r="BZI12" s="33"/>
      <c r="BZJ12" s="33"/>
      <c r="BZK12" s="33"/>
      <c r="BZL12" s="33"/>
      <c r="BZM12" s="33"/>
      <c r="BZN12" s="33"/>
      <c r="BZO12" s="33"/>
      <c r="BZP12" s="33"/>
      <c r="BZQ12" s="33"/>
      <c r="BZR12" s="33"/>
      <c r="BZS12" s="33"/>
      <c r="BZT12" s="33"/>
      <c r="BZU12" s="33"/>
      <c r="BZV12" s="33"/>
      <c r="BZW12" s="33"/>
      <c r="BZX12" s="33"/>
      <c r="BZY12" s="33"/>
      <c r="BZZ12" s="33"/>
      <c r="CAA12" s="33"/>
      <c r="CAB12" s="33"/>
      <c r="CAC12" s="33"/>
      <c r="CAD12" s="33"/>
      <c r="CAE12" s="33"/>
      <c r="CAF12" s="33"/>
      <c r="CAG12" s="33"/>
      <c r="CAH12" s="33"/>
      <c r="CAI12" s="33"/>
      <c r="CAJ12" s="33"/>
      <c r="CAK12" s="33"/>
      <c r="CAL12" s="33"/>
      <c r="CAM12" s="33"/>
      <c r="CAN12" s="33"/>
      <c r="CAO12" s="33"/>
      <c r="CAP12" s="33"/>
      <c r="CAQ12" s="33"/>
      <c r="CAR12" s="33"/>
      <c r="CAS12" s="33"/>
      <c r="CAT12" s="33"/>
      <c r="CAU12" s="33"/>
      <c r="CAV12" s="33"/>
      <c r="CAW12" s="33"/>
      <c r="CAX12" s="33"/>
      <c r="CAY12" s="33"/>
      <c r="CAZ12" s="33"/>
      <c r="CBA12" s="33"/>
      <c r="CBB12" s="33"/>
      <c r="CBC12" s="33"/>
      <c r="CBD12" s="33"/>
      <c r="CBE12" s="33"/>
      <c r="CBF12" s="33"/>
      <c r="CBG12" s="33"/>
      <c r="CBH12" s="33"/>
      <c r="CBI12" s="33"/>
      <c r="CBJ12" s="33"/>
      <c r="CBK12" s="33"/>
      <c r="CBL12" s="33"/>
      <c r="CBM12" s="33"/>
      <c r="CBN12" s="33"/>
      <c r="CBO12" s="33"/>
      <c r="CBP12" s="33"/>
      <c r="CBQ12" s="33"/>
      <c r="CBR12" s="33"/>
      <c r="CBS12" s="33"/>
      <c r="CBT12" s="33"/>
      <c r="CBU12" s="33"/>
      <c r="CBV12" s="33"/>
      <c r="CBW12" s="33"/>
      <c r="CBX12" s="33"/>
      <c r="CBY12" s="33"/>
      <c r="CBZ12" s="33"/>
      <c r="CCA12" s="33"/>
      <c r="CCB12" s="33"/>
      <c r="CCC12" s="33"/>
      <c r="CCD12" s="33"/>
      <c r="CCE12" s="33"/>
      <c r="CCF12" s="33"/>
      <c r="CCG12" s="33"/>
      <c r="CCH12" s="33"/>
      <c r="CCI12" s="33"/>
      <c r="CCJ12" s="33"/>
      <c r="CCK12" s="33"/>
      <c r="CCL12" s="33"/>
      <c r="CCM12" s="33"/>
      <c r="CCN12" s="33"/>
      <c r="CCO12" s="33"/>
      <c r="CCP12" s="33"/>
      <c r="CCQ12" s="33"/>
      <c r="CCR12" s="33"/>
      <c r="CCS12" s="33"/>
      <c r="CCT12" s="33"/>
      <c r="CCU12" s="33"/>
      <c r="CCV12" s="33"/>
      <c r="CCW12" s="33"/>
      <c r="CCX12" s="33"/>
      <c r="CCY12" s="33"/>
      <c r="CCZ12" s="33"/>
      <c r="CDA12" s="33"/>
      <c r="CDB12" s="33"/>
      <c r="CDC12" s="33"/>
      <c r="CDD12" s="33"/>
      <c r="CDE12" s="33"/>
      <c r="CDF12" s="33"/>
      <c r="CDG12" s="33"/>
      <c r="CDH12" s="33"/>
      <c r="CDI12" s="33"/>
      <c r="CDJ12" s="33"/>
      <c r="CDK12" s="33"/>
      <c r="CDL12" s="33"/>
      <c r="CDM12" s="33"/>
      <c r="CDN12" s="33"/>
      <c r="CDO12" s="33"/>
      <c r="CDP12" s="33"/>
      <c r="CDQ12" s="33"/>
      <c r="CDR12" s="33"/>
      <c r="CDS12" s="33"/>
      <c r="CDT12" s="33"/>
      <c r="CDU12" s="33"/>
      <c r="CDV12" s="33"/>
      <c r="CDW12" s="33"/>
      <c r="CDX12" s="33"/>
      <c r="CDY12" s="33"/>
      <c r="CDZ12" s="33"/>
      <c r="CEA12" s="33"/>
      <c r="CEB12" s="33"/>
      <c r="CEC12" s="33"/>
      <c r="CED12" s="33"/>
      <c r="CEE12" s="33"/>
      <c r="CEF12" s="33"/>
      <c r="CEG12" s="33"/>
      <c r="CEH12" s="33"/>
      <c r="CEI12" s="33"/>
      <c r="CEJ12" s="33"/>
      <c r="CEK12" s="33"/>
      <c r="CEL12" s="33"/>
      <c r="CEM12" s="33"/>
      <c r="CEN12" s="33"/>
      <c r="CEO12" s="33"/>
      <c r="CEP12" s="33"/>
      <c r="CEQ12" s="33"/>
      <c r="CER12" s="33"/>
      <c r="CES12" s="33"/>
      <c r="CET12" s="33"/>
      <c r="CEU12" s="33"/>
      <c r="CEV12" s="33"/>
      <c r="CEW12" s="33"/>
      <c r="CEX12" s="33"/>
      <c r="CEY12" s="33"/>
      <c r="CEZ12" s="33"/>
      <c r="CFA12" s="33"/>
      <c r="CFB12" s="33"/>
      <c r="CFC12" s="33"/>
      <c r="CFD12" s="33"/>
      <c r="CFE12" s="33"/>
      <c r="CFF12" s="33"/>
      <c r="CFG12" s="33"/>
      <c r="CFH12" s="33"/>
      <c r="CFI12" s="33"/>
      <c r="CFJ12" s="33"/>
      <c r="CFK12" s="33"/>
      <c r="CFL12" s="33"/>
      <c r="CFM12" s="33"/>
      <c r="CFN12" s="33"/>
      <c r="CFO12" s="33"/>
      <c r="CFP12" s="33"/>
      <c r="CFQ12" s="33"/>
      <c r="CFR12" s="33"/>
      <c r="CFS12" s="33"/>
      <c r="CFT12" s="33"/>
      <c r="CFU12" s="33"/>
      <c r="CFV12" s="33"/>
      <c r="CFW12" s="33"/>
      <c r="CFX12" s="33"/>
      <c r="CFY12" s="33"/>
      <c r="CFZ12" s="33"/>
      <c r="CGA12" s="33"/>
      <c r="CGB12" s="33"/>
      <c r="CGC12" s="33"/>
      <c r="CGD12" s="33"/>
      <c r="CGE12" s="33"/>
      <c r="CGF12" s="33"/>
      <c r="CGG12" s="33"/>
      <c r="CGH12" s="33"/>
      <c r="CGI12" s="33"/>
      <c r="CGJ12" s="33"/>
      <c r="CGK12" s="33"/>
      <c r="CGL12" s="33"/>
      <c r="CGM12" s="33"/>
      <c r="CGN12" s="33"/>
      <c r="CGO12" s="33"/>
      <c r="CGP12" s="33"/>
      <c r="CGQ12" s="33"/>
      <c r="CGR12" s="33"/>
      <c r="CGS12" s="33"/>
      <c r="CGT12" s="33"/>
      <c r="CGU12" s="33"/>
      <c r="CGV12" s="33"/>
      <c r="CGW12" s="33"/>
      <c r="CGX12" s="33"/>
      <c r="CGY12" s="33"/>
      <c r="CGZ12" s="33"/>
      <c r="CHA12" s="33"/>
      <c r="CHB12" s="33"/>
      <c r="CHC12" s="33"/>
      <c r="CHD12" s="33"/>
      <c r="CHE12" s="33"/>
      <c r="CHF12" s="33"/>
      <c r="CHG12" s="33"/>
      <c r="CHH12" s="33"/>
      <c r="CHI12" s="33"/>
      <c r="CHJ12" s="33"/>
      <c r="CHK12" s="33"/>
      <c r="CHL12" s="33"/>
      <c r="CHM12" s="33"/>
      <c r="CHN12" s="33"/>
      <c r="CHO12" s="33"/>
      <c r="CHP12" s="33"/>
      <c r="CHQ12" s="33"/>
      <c r="CHR12" s="33"/>
      <c r="CHS12" s="33"/>
      <c r="CHT12" s="33"/>
      <c r="CHU12" s="33"/>
      <c r="CHV12" s="33"/>
      <c r="CHW12" s="33"/>
      <c r="CHX12" s="33"/>
      <c r="CHY12" s="33"/>
      <c r="CHZ12" s="33"/>
      <c r="CIA12" s="33"/>
      <c r="CIB12" s="33"/>
      <c r="CIC12" s="33"/>
      <c r="CID12" s="33"/>
      <c r="CIE12" s="33"/>
      <c r="CIF12" s="33"/>
      <c r="CIG12" s="33"/>
      <c r="CIH12" s="33"/>
      <c r="CII12" s="33"/>
      <c r="CIJ12" s="33"/>
      <c r="CIK12" s="33"/>
      <c r="CIL12" s="33"/>
      <c r="CIM12" s="33"/>
      <c r="CIN12" s="33"/>
      <c r="CIO12" s="33"/>
      <c r="CIP12" s="33"/>
      <c r="CIQ12" s="33"/>
      <c r="CIR12" s="33"/>
      <c r="CIS12" s="33"/>
      <c r="CIT12" s="33"/>
      <c r="CIU12" s="33"/>
      <c r="CIV12" s="33"/>
      <c r="CIW12" s="33"/>
      <c r="CIX12" s="33"/>
      <c r="CIY12" s="33"/>
      <c r="CIZ12" s="33"/>
      <c r="CJA12" s="33"/>
      <c r="CJB12" s="33"/>
      <c r="CJC12" s="33"/>
      <c r="CJD12" s="33"/>
      <c r="CJE12" s="33"/>
      <c r="CJF12" s="33"/>
      <c r="CJG12" s="33"/>
      <c r="CJH12" s="33"/>
      <c r="CJI12" s="33"/>
      <c r="CJJ12" s="33"/>
      <c r="CJK12" s="33"/>
      <c r="CJL12" s="33"/>
      <c r="CJM12" s="33"/>
      <c r="CJN12" s="33"/>
      <c r="CJO12" s="33"/>
      <c r="CJP12" s="33"/>
      <c r="CJQ12" s="33"/>
      <c r="CJR12" s="33"/>
      <c r="CJS12" s="33"/>
      <c r="CJT12" s="33"/>
      <c r="CJU12" s="33"/>
      <c r="CJV12" s="33"/>
      <c r="CJW12" s="33"/>
      <c r="CJX12" s="33"/>
      <c r="CJY12" s="33"/>
      <c r="CJZ12" s="33"/>
      <c r="CKA12" s="33"/>
      <c r="CKB12" s="33"/>
      <c r="CKC12" s="33"/>
      <c r="CKD12" s="33"/>
      <c r="CKE12" s="33"/>
      <c r="CKF12" s="33"/>
      <c r="CKG12" s="33"/>
      <c r="CKH12" s="33"/>
      <c r="CKI12" s="33"/>
      <c r="CKJ12" s="33"/>
      <c r="CKK12" s="33"/>
      <c r="CKL12" s="33"/>
      <c r="CKM12" s="33"/>
      <c r="CKN12" s="33"/>
      <c r="CKO12" s="33"/>
      <c r="CKP12" s="33"/>
      <c r="CKQ12" s="33"/>
      <c r="CKR12" s="33"/>
      <c r="CKS12" s="33"/>
      <c r="CKT12" s="33"/>
      <c r="CKU12" s="33"/>
      <c r="CKV12" s="33"/>
      <c r="CKW12" s="33"/>
      <c r="CKX12" s="33"/>
      <c r="CKY12" s="33"/>
      <c r="CKZ12" s="33"/>
      <c r="CLA12" s="33"/>
      <c r="CLB12" s="33"/>
      <c r="CLC12" s="33"/>
      <c r="CLD12" s="33"/>
      <c r="CLE12" s="33"/>
      <c r="CLF12" s="33"/>
      <c r="CLG12" s="33"/>
      <c r="CLH12" s="33"/>
      <c r="CLI12" s="33"/>
      <c r="CLJ12" s="33"/>
      <c r="CLK12" s="33"/>
      <c r="CLL12" s="33"/>
      <c r="CLM12" s="33"/>
      <c r="CLN12" s="33"/>
      <c r="CLO12" s="33"/>
      <c r="CLP12" s="33"/>
      <c r="CLQ12" s="33"/>
      <c r="CLR12" s="33"/>
      <c r="CLS12" s="33"/>
      <c r="CLT12" s="33"/>
      <c r="CLU12" s="33"/>
      <c r="CLV12" s="33"/>
      <c r="CLW12" s="33"/>
      <c r="CLX12" s="33"/>
      <c r="CLY12" s="33"/>
      <c r="CLZ12" s="33"/>
      <c r="CMA12" s="33"/>
      <c r="CMB12" s="33"/>
      <c r="CMC12" s="33"/>
      <c r="CMD12" s="33"/>
      <c r="CME12" s="33"/>
      <c r="CMF12" s="33"/>
      <c r="CMG12" s="33"/>
      <c r="CMH12" s="33"/>
      <c r="CMI12" s="33"/>
      <c r="CMJ12" s="33"/>
      <c r="CMK12" s="33"/>
      <c r="CML12" s="33"/>
      <c r="CMM12" s="33"/>
      <c r="CMN12" s="33"/>
      <c r="CMO12" s="33"/>
      <c r="CMP12" s="33"/>
      <c r="CMQ12" s="33"/>
      <c r="CMR12" s="33"/>
      <c r="CMS12" s="33"/>
      <c r="CMT12" s="33"/>
      <c r="CMU12" s="33"/>
      <c r="CMV12" s="33"/>
      <c r="CMW12" s="33"/>
      <c r="CMX12" s="33"/>
      <c r="CMY12" s="33"/>
      <c r="CMZ12" s="33"/>
      <c r="CNA12" s="33"/>
      <c r="CNB12" s="33"/>
      <c r="CNC12" s="33"/>
      <c r="CND12" s="33"/>
      <c r="CNE12" s="33"/>
      <c r="CNF12" s="33"/>
      <c r="CNG12" s="33"/>
      <c r="CNH12" s="33"/>
      <c r="CNI12" s="33"/>
      <c r="CNJ12" s="33"/>
      <c r="CNK12" s="33"/>
      <c r="CNL12" s="33"/>
      <c r="CNM12" s="33"/>
      <c r="CNN12" s="33"/>
      <c r="CNO12" s="33"/>
      <c r="CNP12" s="33"/>
      <c r="CNQ12" s="33"/>
      <c r="CNR12" s="33"/>
      <c r="CNS12" s="33"/>
      <c r="CNT12" s="33"/>
      <c r="CNU12" s="33"/>
      <c r="CNV12" s="33"/>
      <c r="CNW12" s="33"/>
      <c r="CNX12" s="33"/>
      <c r="CNY12" s="33"/>
      <c r="CNZ12" s="33"/>
      <c r="COA12" s="33"/>
      <c r="COB12" s="33"/>
      <c r="COC12" s="33"/>
      <c r="COD12" s="33"/>
      <c r="COE12" s="33"/>
      <c r="COF12" s="33"/>
      <c r="COG12" s="33"/>
      <c r="COH12" s="33"/>
      <c r="COI12" s="33"/>
      <c r="COJ12" s="33"/>
      <c r="COK12" s="33"/>
      <c r="COL12" s="33"/>
      <c r="COM12" s="33"/>
      <c r="CON12" s="33"/>
      <c r="COO12" s="33"/>
      <c r="COP12" s="33"/>
      <c r="COQ12" s="33"/>
      <c r="COR12" s="33"/>
      <c r="COS12" s="33"/>
      <c r="COT12" s="33"/>
      <c r="COU12" s="33"/>
      <c r="COV12" s="33"/>
      <c r="COW12" s="33"/>
      <c r="COX12" s="33"/>
      <c r="COY12" s="33"/>
      <c r="COZ12" s="33"/>
      <c r="CPA12" s="33"/>
      <c r="CPB12" s="33"/>
      <c r="CPC12" s="33"/>
      <c r="CPD12" s="33"/>
      <c r="CPE12" s="33"/>
      <c r="CPF12" s="33"/>
      <c r="CPG12" s="33"/>
      <c r="CPH12" s="33"/>
      <c r="CPI12" s="33"/>
      <c r="CPJ12" s="33"/>
      <c r="CPK12" s="33"/>
      <c r="CPL12" s="33"/>
      <c r="CPM12" s="33"/>
      <c r="CPN12" s="33"/>
      <c r="CPO12" s="33"/>
      <c r="CPP12" s="33"/>
      <c r="CPQ12" s="33"/>
      <c r="CPR12" s="33"/>
      <c r="CPS12" s="33"/>
      <c r="CPT12" s="33"/>
      <c r="CPU12" s="33"/>
      <c r="CPV12" s="33"/>
      <c r="CPW12" s="33"/>
      <c r="CPX12" s="33"/>
      <c r="CPY12" s="33"/>
      <c r="CPZ12" s="33"/>
      <c r="CQA12" s="33"/>
      <c r="CQB12" s="33"/>
      <c r="CQC12" s="33"/>
      <c r="CQD12" s="33"/>
      <c r="CQE12" s="33"/>
      <c r="CQF12" s="33"/>
      <c r="CQG12" s="33"/>
      <c r="CQH12" s="33"/>
      <c r="CQI12" s="33"/>
      <c r="CQJ12" s="33"/>
      <c r="CQK12" s="33"/>
      <c r="CQL12" s="33"/>
      <c r="CQM12" s="33"/>
      <c r="CQN12" s="33"/>
      <c r="CQO12" s="33"/>
      <c r="CQP12" s="33"/>
      <c r="CQQ12" s="33"/>
      <c r="CQR12" s="33"/>
      <c r="CQS12" s="33"/>
      <c r="CQT12" s="33"/>
      <c r="CQU12" s="33"/>
      <c r="CQV12" s="33"/>
      <c r="CQW12" s="33"/>
      <c r="CQX12" s="33"/>
      <c r="CQY12" s="33"/>
      <c r="CQZ12" s="33"/>
      <c r="CRA12" s="33"/>
      <c r="CRB12" s="33"/>
      <c r="CRC12" s="33"/>
      <c r="CRD12" s="33"/>
      <c r="CRE12" s="33"/>
      <c r="CRF12" s="33"/>
      <c r="CRG12" s="33"/>
      <c r="CRH12" s="33"/>
      <c r="CRI12" s="33"/>
      <c r="CRJ12" s="33"/>
      <c r="CRK12" s="33"/>
      <c r="CRL12" s="33"/>
      <c r="CRM12" s="33"/>
      <c r="CRN12" s="33"/>
      <c r="CRO12" s="33"/>
      <c r="CRP12" s="33"/>
      <c r="CRQ12" s="33"/>
      <c r="CRR12" s="33"/>
      <c r="CRS12" s="33"/>
      <c r="CRT12" s="33"/>
      <c r="CRU12" s="33"/>
      <c r="CRV12" s="33"/>
      <c r="CRW12" s="33"/>
      <c r="CRX12" s="33"/>
      <c r="CRY12" s="33"/>
      <c r="CRZ12" s="33"/>
      <c r="CSA12" s="33"/>
      <c r="CSB12" s="33"/>
      <c r="CSC12" s="33"/>
      <c r="CSD12" s="33"/>
      <c r="CSE12" s="33"/>
      <c r="CSF12" s="33"/>
      <c r="CSG12" s="33"/>
      <c r="CSH12" s="33"/>
      <c r="CSI12" s="33"/>
      <c r="CSJ12" s="33"/>
      <c r="CSK12" s="33"/>
      <c r="CSL12" s="33"/>
      <c r="CSM12" s="33"/>
      <c r="CSN12" s="33"/>
      <c r="CSO12" s="33"/>
      <c r="CSP12" s="33"/>
      <c r="CSQ12" s="33"/>
      <c r="CSR12" s="33"/>
      <c r="CSS12" s="33"/>
      <c r="CST12" s="33"/>
      <c r="CSU12" s="33"/>
      <c r="CSV12" s="33"/>
      <c r="CSW12" s="33"/>
      <c r="CSX12" s="33"/>
      <c r="CSY12" s="33"/>
      <c r="CSZ12" s="33"/>
      <c r="CTA12" s="33"/>
      <c r="CTB12" s="33"/>
      <c r="CTC12" s="33"/>
      <c r="CTD12" s="33"/>
      <c r="CTE12" s="33"/>
      <c r="CTF12" s="33"/>
      <c r="CTG12" s="33"/>
      <c r="CTH12" s="33"/>
      <c r="CTI12" s="33"/>
      <c r="CTJ12" s="33"/>
      <c r="CTK12" s="33"/>
      <c r="CTL12" s="33"/>
      <c r="CTM12" s="33"/>
      <c r="CTN12" s="33"/>
      <c r="CTO12" s="33"/>
      <c r="CTP12" s="33"/>
      <c r="CTQ12" s="33"/>
      <c r="CTR12" s="33"/>
      <c r="CTS12" s="33"/>
      <c r="CTT12" s="33"/>
      <c r="CTU12" s="33"/>
      <c r="CTV12" s="33"/>
      <c r="CTW12" s="33"/>
      <c r="CTX12" s="33"/>
      <c r="CTY12" s="33"/>
      <c r="CTZ12" s="33"/>
      <c r="CUA12" s="33"/>
      <c r="CUB12" s="33"/>
      <c r="CUC12" s="33"/>
      <c r="CUD12" s="33"/>
      <c r="CUE12" s="33"/>
      <c r="CUF12" s="33"/>
      <c r="CUG12" s="33"/>
      <c r="CUH12" s="33"/>
      <c r="CUI12" s="33"/>
      <c r="CUJ12" s="33"/>
      <c r="CUK12" s="33"/>
      <c r="CUL12" s="33"/>
      <c r="CUM12" s="33"/>
      <c r="CUN12" s="33"/>
      <c r="CUO12" s="33"/>
      <c r="CUP12" s="33"/>
      <c r="CUQ12" s="33"/>
      <c r="CUR12" s="33"/>
      <c r="CUS12" s="33"/>
      <c r="CUT12" s="33"/>
      <c r="CUU12" s="33"/>
      <c r="CUV12" s="33"/>
      <c r="CUW12" s="33"/>
      <c r="CUX12" s="33"/>
      <c r="CUY12" s="33"/>
      <c r="CUZ12" s="33"/>
      <c r="CVA12" s="33"/>
      <c r="CVB12" s="33"/>
      <c r="CVC12" s="33"/>
      <c r="CVD12" s="33"/>
      <c r="CVE12" s="33"/>
      <c r="CVF12" s="33"/>
      <c r="CVG12" s="33"/>
      <c r="CVH12" s="33"/>
      <c r="CVI12" s="33"/>
      <c r="CVJ12" s="33"/>
      <c r="CVK12" s="33"/>
      <c r="CVL12" s="33"/>
      <c r="CVM12" s="33"/>
      <c r="CVN12" s="33"/>
      <c r="CVO12" s="33"/>
      <c r="CVP12" s="33"/>
      <c r="CVQ12" s="33"/>
      <c r="CVR12" s="33"/>
      <c r="CVS12" s="33"/>
      <c r="CVT12" s="33"/>
      <c r="CVU12" s="33"/>
      <c r="CVV12" s="33"/>
      <c r="CVW12" s="33"/>
      <c r="CVX12" s="33"/>
      <c r="CVY12" s="33"/>
      <c r="CVZ12" s="33"/>
      <c r="CWA12" s="33"/>
      <c r="CWB12" s="33"/>
      <c r="CWC12" s="33"/>
      <c r="CWD12" s="33"/>
      <c r="CWE12" s="33"/>
      <c r="CWF12" s="33"/>
      <c r="CWG12" s="33"/>
      <c r="CWH12" s="33"/>
      <c r="CWI12" s="33"/>
      <c r="CWJ12" s="33"/>
      <c r="CWK12" s="33"/>
      <c r="CWL12" s="33"/>
      <c r="CWM12" s="33"/>
      <c r="CWN12" s="33"/>
      <c r="CWO12" s="33"/>
      <c r="CWP12" s="33"/>
      <c r="CWQ12" s="33"/>
      <c r="CWR12" s="33"/>
      <c r="CWS12" s="33"/>
      <c r="CWT12" s="33"/>
      <c r="CWU12" s="33"/>
      <c r="CWV12" s="33"/>
      <c r="CWW12" s="33"/>
      <c r="CWX12" s="33"/>
      <c r="CWY12" s="33"/>
      <c r="CWZ12" s="33"/>
      <c r="CXA12" s="33"/>
      <c r="CXB12" s="33"/>
      <c r="CXC12" s="33"/>
      <c r="CXD12" s="33"/>
      <c r="CXE12" s="33"/>
      <c r="CXF12" s="33"/>
      <c r="CXG12" s="33"/>
      <c r="CXH12" s="33"/>
      <c r="CXI12" s="33"/>
      <c r="CXJ12" s="33"/>
      <c r="CXK12" s="33"/>
      <c r="CXL12" s="33"/>
      <c r="CXM12" s="33"/>
      <c r="CXN12" s="33"/>
      <c r="CXO12" s="33"/>
      <c r="CXP12" s="33"/>
      <c r="CXQ12" s="33"/>
      <c r="CXR12" s="33"/>
      <c r="CXS12" s="33"/>
      <c r="CXT12" s="33"/>
      <c r="CXU12" s="33"/>
      <c r="CXV12" s="33"/>
      <c r="CXW12" s="33"/>
      <c r="CXX12" s="33"/>
      <c r="CXY12" s="33"/>
      <c r="CXZ12" s="33"/>
      <c r="CYA12" s="33"/>
      <c r="CYB12" s="33"/>
      <c r="CYC12" s="33"/>
      <c r="CYD12" s="33"/>
      <c r="CYE12" s="33"/>
      <c r="CYF12" s="33"/>
      <c r="CYG12" s="33"/>
      <c r="CYH12" s="33"/>
      <c r="CYI12" s="33"/>
      <c r="CYJ12" s="33"/>
      <c r="CYK12" s="33"/>
      <c r="CYL12" s="33"/>
      <c r="CYM12" s="33"/>
      <c r="CYN12" s="33"/>
      <c r="CYO12" s="33"/>
      <c r="CYP12" s="33"/>
      <c r="CYQ12" s="33"/>
      <c r="CYR12" s="33"/>
      <c r="CYS12" s="33"/>
      <c r="CYT12" s="33"/>
      <c r="CYU12" s="33"/>
      <c r="CYV12" s="33"/>
      <c r="CYW12" s="33"/>
      <c r="CYX12" s="33"/>
      <c r="CYY12" s="33"/>
      <c r="CYZ12" s="33"/>
      <c r="CZA12" s="33"/>
      <c r="CZB12" s="33"/>
      <c r="CZC12" s="33"/>
      <c r="CZD12" s="33"/>
      <c r="CZE12" s="33"/>
      <c r="CZF12" s="33"/>
      <c r="CZG12" s="33"/>
      <c r="CZH12" s="33"/>
      <c r="CZI12" s="33"/>
      <c r="CZJ12" s="33"/>
      <c r="CZK12" s="33"/>
      <c r="CZL12" s="33"/>
      <c r="CZM12" s="33"/>
      <c r="CZN12" s="33"/>
      <c r="CZO12" s="33"/>
      <c r="CZP12" s="33"/>
      <c r="CZQ12" s="33"/>
      <c r="CZR12" s="33"/>
      <c r="CZS12" s="33"/>
      <c r="CZT12" s="33"/>
      <c r="CZU12" s="33"/>
      <c r="CZV12" s="33"/>
      <c r="CZW12" s="33"/>
      <c r="CZX12" s="33"/>
      <c r="CZY12" s="33"/>
      <c r="CZZ12" s="33"/>
      <c r="DAA12" s="33"/>
      <c r="DAB12" s="33"/>
      <c r="DAC12" s="33"/>
      <c r="DAD12" s="33"/>
      <c r="DAE12" s="33"/>
      <c r="DAF12" s="33"/>
      <c r="DAG12" s="33"/>
      <c r="DAH12" s="33"/>
      <c r="DAI12" s="33"/>
      <c r="DAJ12" s="33"/>
      <c r="DAK12" s="33"/>
      <c r="DAL12" s="33"/>
      <c r="DAM12" s="33"/>
      <c r="DAN12" s="33"/>
      <c r="DAO12" s="33"/>
      <c r="DAP12" s="33"/>
      <c r="DAQ12" s="33"/>
      <c r="DAR12" s="33"/>
      <c r="DAS12" s="33"/>
      <c r="DAT12" s="33"/>
      <c r="DAU12" s="33"/>
      <c r="DAV12" s="33"/>
      <c r="DAW12" s="33"/>
      <c r="DAX12" s="33"/>
      <c r="DAY12" s="33"/>
      <c r="DAZ12" s="33"/>
      <c r="DBA12" s="33"/>
      <c r="DBB12" s="33"/>
      <c r="DBC12" s="33"/>
      <c r="DBD12" s="33"/>
      <c r="DBE12" s="33"/>
      <c r="DBF12" s="33"/>
      <c r="DBG12" s="33"/>
      <c r="DBH12" s="33"/>
      <c r="DBI12" s="33"/>
      <c r="DBJ12" s="33"/>
      <c r="DBK12" s="33"/>
      <c r="DBL12" s="33"/>
      <c r="DBM12" s="33"/>
      <c r="DBN12" s="33"/>
      <c r="DBO12" s="33"/>
      <c r="DBP12" s="33"/>
      <c r="DBQ12" s="33"/>
      <c r="DBR12" s="33"/>
      <c r="DBS12" s="33"/>
      <c r="DBT12" s="33"/>
      <c r="DBU12" s="33"/>
      <c r="DBV12" s="33"/>
      <c r="DBW12" s="33"/>
      <c r="DBX12" s="33"/>
      <c r="DBY12" s="33"/>
      <c r="DBZ12" s="33"/>
      <c r="DCA12" s="33"/>
      <c r="DCB12" s="33"/>
      <c r="DCC12" s="33"/>
      <c r="DCD12" s="33"/>
      <c r="DCE12" s="33"/>
      <c r="DCF12" s="33"/>
      <c r="DCG12" s="33"/>
      <c r="DCH12" s="33"/>
      <c r="DCI12" s="33"/>
      <c r="DCJ12" s="33"/>
      <c r="DCK12" s="33"/>
      <c r="DCL12" s="33"/>
      <c r="DCM12" s="33"/>
      <c r="DCN12" s="33"/>
      <c r="DCO12" s="33"/>
      <c r="DCP12" s="33"/>
      <c r="DCQ12" s="33"/>
      <c r="DCR12" s="33"/>
      <c r="DCS12" s="33"/>
      <c r="DCT12" s="33"/>
      <c r="DCU12" s="33"/>
      <c r="DCV12" s="33"/>
      <c r="DCW12" s="33"/>
      <c r="DCX12" s="33"/>
      <c r="DCY12" s="33"/>
      <c r="DCZ12" s="33"/>
      <c r="DDA12" s="33"/>
      <c r="DDB12" s="33"/>
      <c r="DDC12" s="33"/>
      <c r="DDD12" s="33"/>
      <c r="DDE12" s="33"/>
      <c r="DDF12" s="33"/>
      <c r="DDG12" s="33"/>
      <c r="DDH12" s="33"/>
      <c r="DDI12" s="33"/>
      <c r="DDJ12" s="33"/>
      <c r="DDK12" s="33"/>
      <c r="DDL12" s="33"/>
      <c r="DDM12" s="33"/>
      <c r="DDN12" s="33"/>
      <c r="DDO12" s="33"/>
      <c r="DDP12" s="33"/>
      <c r="DDQ12" s="33"/>
      <c r="DDR12" s="33"/>
      <c r="DDS12" s="33"/>
      <c r="DDT12" s="33"/>
      <c r="DDU12" s="33"/>
      <c r="DDV12" s="33"/>
      <c r="DDW12" s="33"/>
      <c r="DDX12" s="33"/>
      <c r="DDY12" s="33"/>
      <c r="DDZ12" s="33"/>
      <c r="DEA12" s="33"/>
      <c r="DEB12" s="33"/>
      <c r="DEC12" s="33"/>
      <c r="DED12" s="33"/>
      <c r="DEE12" s="33"/>
      <c r="DEF12" s="33"/>
      <c r="DEG12" s="33"/>
      <c r="DEH12" s="33"/>
      <c r="DEI12" s="33"/>
      <c r="DEJ12" s="33"/>
      <c r="DEK12" s="33"/>
      <c r="DEL12" s="33"/>
      <c r="DEM12" s="33"/>
      <c r="DEN12" s="33"/>
      <c r="DEO12" s="33"/>
      <c r="DEP12" s="33"/>
      <c r="DEQ12" s="33"/>
      <c r="DER12" s="33"/>
      <c r="DES12" s="33"/>
      <c r="DET12" s="33"/>
      <c r="DEU12" s="33"/>
      <c r="DEV12" s="33"/>
      <c r="DEW12" s="33"/>
      <c r="DEX12" s="33"/>
      <c r="DEY12" s="33"/>
      <c r="DEZ12" s="33"/>
      <c r="DFA12" s="33"/>
      <c r="DFB12" s="33"/>
      <c r="DFC12" s="33"/>
      <c r="DFD12" s="33"/>
      <c r="DFE12" s="33"/>
      <c r="DFF12" s="33"/>
      <c r="DFG12" s="33"/>
      <c r="DFH12" s="33"/>
      <c r="DFI12" s="33"/>
      <c r="DFJ12" s="33"/>
      <c r="DFK12" s="33"/>
      <c r="DFL12" s="33"/>
      <c r="DFM12" s="33"/>
      <c r="DFN12" s="33"/>
      <c r="DFO12" s="33"/>
      <c r="DFP12" s="33"/>
      <c r="DFQ12" s="33"/>
      <c r="DFR12" s="33"/>
      <c r="DFS12" s="33"/>
      <c r="DFT12" s="33"/>
      <c r="DFU12" s="33"/>
      <c r="DFV12" s="33"/>
      <c r="DFW12" s="33"/>
      <c r="DFX12" s="33"/>
      <c r="DFY12" s="33"/>
      <c r="DFZ12" s="33"/>
      <c r="DGA12" s="33"/>
      <c r="DGB12" s="33"/>
      <c r="DGC12" s="33"/>
      <c r="DGD12" s="33"/>
      <c r="DGE12" s="33"/>
      <c r="DGF12" s="33"/>
      <c r="DGG12" s="33"/>
      <c r="DGH12" s="33"/>
      <c r="DGI12" s="33"/>
      <c r="DGJ12" s="33"/>
      <c r="DGK12" s="33"/>
      <c r="DGL12" s="33"/>
      <c r="DGM12" s="33"/>
      <c r="DGN12" s="33"/>
      <c r="DGO12" s="33"/>
      <c r="DGP12" s="33"/>
      <c r="DGQ12" s="33"/>
      <c r="DGR12" s="33"/>
      <c r="DGS12" s="33"/>
      <c r="DGT12" s="33"/>
      <c r="DGU12" s="33"/>
      <c r="DGV12" s="33"/>
      <c r="DGW12" s="33"/>
      <c r="DGX12" s="33"/>
      <c r="DGY12" s="33"/>
      <c r="DGZ12" s="33"/>
      <c r="DHA12" s="33"/>
      <c r="DHB12" s="33"/>
      <c r="DHC12" s="33"/>
      <c r="DHD12" s="33"/>
      <c r="DHE12" s="33"/>
      <c r="DHF12" s="33"/>
      <c r="DHG12" s="33"/>
      <c r="DHH12" s="33"/>
      <c r="DHI12" s="33"/>
      <c r="DHJ12" s="33"/>
      <c r="DHK12" s="33"/>
      <c r="DHL12" s="33"/>
      <c r="DHM12" s="33"/>
      <c r="DHN12" s="33"/>
      <c r="DHO12" s="33"/>
      <c r="DHP12" s="33"/>
      <c r="DHQ12" s="33"/>
      <c r="DHR12" s="33"/>
      <c r="DHS12" s="33"/>
      <c r="DHT12" s="33"/>
      <c r="DHU12" s="33"/>
      <c r="DHV12" s="33"/>
    </row>
    <row r="13" spans="1:2934" s="39" customFormat="1" ht="24" hidden="1" customHeight="1" x14ac:dyDescent="0.35">
      <c r="A13" s="40">
        <v>9</v>
      </c>
      <c r="B13" s="124"/>
      <c r="C13" s="124"/>
      <c r="D13" s="86"/>
      <c r="E13" s="86"/>
      <c r="F13" s="86"/>
      <c r="G13" s="86"/>
      <c r="H13" s="86"/>
      <c r="I13" s="86"/>
      <c r="J13" s="86"/>
      <c r="K13" s="86">
        <v>1.5</v>
      </c>
      <c r="L13" s="86"/>
      <c r="M13" s="86"/>
      <c r="N13" s="87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  <c r="AD13" s="86"/>
      <c r="AE13" s="86"/>
      <c r="AF13" s="86"/>
      <c r="AG13" s="86"/>
      <c r="AH13" s="86"/>
      <c r="AI13" s="41">
        <f t="shared" si="2"/>
        <v>1.5</v>
      </c>
      <c r="AJ13" s="31">
        <v>44538</v>
      </c>
      <c r="AK13" s="19"/>
      <c r="AL13" s="95"/>
      <c r="AM13" s="22">
        <f>AI13*AL6</f>
        <v>107.33944954128441</v>
      </c>
      <c r="AN13" s="49">
        <f t="shared" si="1"/>
        <v>-107.33944954128441</v>
      </c>
      <c r="AO13" s="38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0"/>
      <c r="BS13" s="20"/>
      <c r="BT13" s="20"/>
      <c r="BU13" s="20"/>
      <c r="BV13" s="20"/>
      <c r="BW13" s="20"/>
      <c r="BX13" s="20"/>
      <c r="BY13" s="20"/>
      <c r="BZ13" s="20"/>
      <c r="CA13" s="20"/>
      <c r="CB13" s="20"/>
      <c r="CC13" s="20"/>
      <c r="CD13" s="20"/>
      <c r="CE13" s="20"/>
      <c r="CF13" s="20"/>
      <c r="CG13" s="20"/>
      <c r="CH13" s="20"/>
      <c r="CI13" s="20"/>
      <c r="CJ13" s="20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20"/>
      <c r="EG13" s="20"/>
      <c r="EH13" s="20"/>
      <c r="EI13" s="20"/>
      <c r="EJ13" s="20"/>
      <c r="EK13" s="20"/>
      <c r="EL13" s="20"/>
      <c r="EM13" s="20"/>
      <c r="EN13" s="20"/>
      <c r="EO13" s="20"/>
      <c r="EP13" s="20"/>
      <c r="EQ13" s="20"/>
      <c r="ER13" s="20"/>
      <c r="ES13" s="20"/>
      <c r="ET13" s="20"/>
      <c r="EU13" s="20"/>
      <c r="EV13" s="20"/>
      <c r="EW13" s="20"/>
      <c r="EX13" s="20"/>
      <c r="EY13" s="20"/>
      <c r="EZ13" s="20"/>
      <c r="FA13" s="20"/>
      <c r="FB13" s="20"/>
      <c r="FC13" s="20"/>
      <c r="FD13" s="20"/>
      <c r="FE13" s="20"/>
      <c r="FF13" s="20"/>
      <c r="FG13" s="20"/>
      <c r="FH13" s="20"/>
      <c r="FI13" s="20"/>
      <c r="FJ13" s="20"/>
      <c r="FK13" s="20"/>
      <c r="FL13" s="20"/>
      <c r="FM13" s="20"/>
      <c r="FN13" s="20"/>
      <c r="FO13" s="20"/>
      <c r="FP13" s="20"/>
      <c r="FQ13" s="20"/>
      <c r="FR13" s="20"/>
      <c r="FS13" s="20"/>
      <c r="FT13" s="20"/>
      <c r="FU13" s="20"/>
      <c r="FV13" s="20"/>
      <c r="FW13" s="20"/>
      <c r="FX13" s="20"/>
      <c r="FY13" s="20"/>
      <c r="FZ13" s="20"/>
      <c r="GA13" s="20"/>
      <c r="GB13" s="20"/>
      <c r="GC13" s="20"/>
      <c r="GD13" s="20"/>
      <c r="GE13" s="20"/>
      <c r="GF13" s="20"/>
      <c r="GG13" s="20"/>
      <c r="GH13" s="20"/>
      <c r="GI13" s="20"/>
      <c r="GJ13" s="20"/>
      <c r="GK13" s="20"/>
      <c r="GL13" s="20"/>
      <c r="GM13" s="20"/>
      <c r="GN13" s="20"/>
      <c r="GO13" s="20"/>
      <c r="GP13" s="20"/>
      <c r="GQ13" s="20"/>
      <c r="GR13" s="20"/>
      <c r="GS13" s="20"/>
      <c r="GT13" s="20"/>
      <c r="GU13" s="20"/>
      <c r="GV13" s="20"/>
      <c r="GW13" s="20"/>
      <c r="GX13" s="20"/>
      <c r="GY13" s="20"/>
      <c r="GZ13" s="20"/>
      <c r="HA13" s="20"/>
      <c r="HB13" s="20"/>
      <c r="HC13" s="20"/>
      <c r="HD13" s="20"/>
      <c r="HE13" s="20"/>
      <c r="HF13" s="20"/>
      <c r="HG13" s="20"/>
      <c r="HH13" s="20"/>
      <c r="HI13" s="20"/>
      <c r="HJ13" s="20"/>
      <c r="HK13" s="20"/>
      <c r="HL13" s="20"/>
      <c r="HM13" s="20"/>
      <c r="HN13" s="20"/>
      <c r="HO13" s="20"/>
      <c r="HP13" s="20"/>
      <c r="HQ13" s="20"/>
      <c r="HR13" s="20"/>
      <c r="HS13" s="20"/>
      <c r="HT13" s="20"/>
      <c r="HU13" s="20"/>
      <c r="HV13" s="20"/>
      <c r="HW13" s="20"/>
      <c r="HX13" s="20"/>
      <c r="HY13" s="20"/>
      <c r="HZ13" s="20"/>
      <c r="IA13" s="20"/>
      <c r="IB13" s="20"/>
      <c r="IC13" s="20"/>
      <c r="ID13" s="20"/>
      <c r="IE13" s="20"/>
      <c r="IF13" s="20"/>
      <c r="IG13" s="20"/>
      <c r="IH13" s="20"/>
      <c r="II13" s="20"/>
      <c r="IJ13" s="20"/>
      <c r="IK13" s="20"/>
      <c r="IL13" s="20"/>
      <c r="IM13" s="20"/>
      <c r="IN13" s="20"/>
      <c r="IO13" s="20"/>
      <c r="IP13" s="20"/>
      <c r="IQ13" s="20"/>
      <c r="IR13" s="20"/>
      <c r="IS13" s="20"/>
      <c r="IT13" s="20"/>
      <c r="IU13" s="20"/>
      <c r="IV13" s="20"/>
      <c r="IW13" s="20"/>
      <c r="IX13" s="20"/>
      <c r="IY13" s="20"/>
      <c r="IZ13" s="20"/>
      <c r="JA13" s="20"/>
      <c r="JB13" s="20"/>
      <c r="JC13" s="20"/>
      <c r="JD13" s="20"/>
      <c r="JE13" s="20"/>
      <c r="JF13" s="20"/>
      <c r="JG13" s="20"/>
      <c r="JH13" s="20"/>
      <c r="JI13" s="20"/>
      <c r="JJ13" s="20"/>
      <c r="JK13" s="20"/>
      <c r="JL13" s="20"/>
      <c r="JM13" s="20"/>
      <c r="JN13" s="20"/>
      <c r="JO13" s="20"/>
      <c r="JP13" s="20"/>
      <c r="JQ13" s="20"/>
      <c r="JR13" s="20"/>
      <c r="JS13" s="20"/>
      <c r="JT13" s="20"/>
      <c r="JU13" s="20"/>
      <c r="JV13" s="20"/>
      <c r="JW13" s="20"/>
      <c r="JX13" s="20"/>
      <c r="JY13" s="20"/>
      <c r="JZ13" s="20"/>
      <c r="KA13" s="20"/>
      <c r="KB13" s="20"/>
      <c r="KC13" s="20"/>
      <c r="KD13" s="20"/>
      <c r="KE13" s="20"/>
      <c r="KF13" s="20"/>
      <c r="KG13" s="20"/>
      <c r="KH13" s="20"/>
      <c r="KI13" s="20"/>
      <c r="KJ13" s="20"/>
      <c r="KK13" s="20"/>
      <c r="KL13" s="20"/>
      <c r="KM13" s="20"/>
      <c r="KN13" s="20"/>
      <c r="KO13" s="20"/>
      <c r="KP13" s="20"/>
      <c r="KQ13" s="20"/>
      <c r="KR13" s="20"/>
      <c r="KS13" s="20"/>
      <c r="KT13" s="20"/>
      <c r="KU13" s="20"/>
      <c r="KV13" s="20"/>
      <c r="KW13" s="20"/>
      <c r="KX13" s="20"/>
      <c r="KY13" s="20"/>
      <c r="KZ13" s="20"/>
      <c r="LA13" s="20"/>
      <c r="LB13" s="20"/>
      <c r="LC13" s="20"/>
      <c r="LD13" s="20"/>
      <c r="LE13" s="20"/>
      <c r="LF13" s="20"/>
      <c r="LG13" s="20"/>
      <c r="LH13" s="20"/>
      <c r="LI13" s="20"/>
      <c r="LJ13" s="20"/>
      <c r="LK13" s="20"/>
      <c r="LL13" s="20"/>
      <c r="LM13" s="20"/>
      <c r="LN13" s="20"/>
      <c r="LO13" s="20"/>
      <c r="LP13" s="20"/>
      <c r="LQ13" s="20"/>
      <c r="LR13" s="20"/>
      <c r="LS13" s="20"/>
      <c r="LT13" s="20"/>
      <c r="LU13" s="20"/>
      <c r="LV13" s="20"/>
      <c r="LW13" s="20"/>
      <c r="LX13" s="20"/>
      <c r="LY13" s="20"/>
      <c r="LZ13" s="20"/>
      <c r="MA13" s="20"/>
      <c r="MB13" s="20"/>
      <c r="MC13" s="20"/>
      <c r="MD13" s="20"/>
      <c r="ME13" s="20"/>
      <c r="MF13" s="20"/>
      <c r="MG13" s="20"/>
      <c r="MH13" s="20"/>
      <c r="MI13" s="20"/>
      <c r="MJ13" s="20"/>
      <c r="MK13" s="20"/>
      <c r="ML13" s="20"/>
      <c r="MM13" s="20"/>
      <c r="MN13" s="20"/>
      <c r="MO13" s="20"/>
      <c r="MP13" s="20"/>
      <c r="MQ13" s="20"/>
      <c r="MR13" s="20"/>
      <c r="MS13" s="20"/>
      <c r="MT13" s="20"/>
      <c r="MU13" s="20"/>
      <c r="MV13" s="20"/>
      <c r="MW13" s="20"/>
      <c r="MX13" s="20"/>
      <c r="MY13" s="20"/>
      <c r="MZ13" s="20"/>
      <c r="NA13" s="20"/>
      <c r="NB13" s="20"/>
      <c r="NC13" s="20"/>
      <c r="ND13" s="20"/>
      <c r="NE13" s="20"/>
      <c r="NF13" s="20"/>
      <c r="NG13" s="20"/>
      <c r="NH13" s="20"/>
      <c r="NI13" s="20"/>
      <c r="NJ13" s="20"/>
      <c r="NK13" s="20"/>
      <c r="NL13" s="20"/>
      <c r="NM13" s="20"/>
      <c r="NN13" s="20"/>
      <c r="NO13" s="20"/>
      <c r="NP13" s="20"/>
      <c r="NQ13" s="20"/>
      <c r="NR13" s="20"/>
      <c r="NS13" s="20"/>
      <c r="NT13" s="20"/>
      <c r="NU13" s="20"/>
      <c r="NV13" s="20"/>
      <c r="NW13" s="20"/>
      <c r="NX13" s="20"/>
      <c r="NY13" s="20"/>
      <c r="NZ13" s="20"/>
      <c r="OA13" s="20"/>
      <c r="OB13" s="20"/>
      <c r="OC13" s="20"/>
      <c r="OD13" s="20"/>
      <c r="OE13" s="20"/>
      <c r="OF13" s="20"/>
      <c r="OG13" s="20"/>
      <c r="OH13" s="20"/>
      <c r="OI13" s="20"/>
      <c r="OJ13" s="20"/>
      <c r="OK13" s="20"/>
      <c r="OL13" s="20"/>
      <c r="OM13" s="20"/>
      <c r="ON13" s="20"/>
      <c r="OO13" s="20"/>
      <c r="OP13" s="20"/>
      <c r="OQ13" s="20"/>
      <c r="OR13" s="20"/>
      <c r="OS13" s="20"/>
      <c r="OT13" s="20"/>
      <c r="OU13" s="20"/>
      <c r="OV13" s="20"/>
      <c r="OW13" s="20"/>
      <c r="OX13" s="20"/>
      <c r="OY13" s="20"/>
      <c r="OZ13" s="20"/>
      <c r="PA13" s="20"/>
      <c r="PB13" s="20"/>
      <c r="PC13" s="20"/>
      <c r="PD13" s="20"/>
      <c r="PE13" s="20"/>
      <c r="PF13" s="20"/>
      <c r="PG13" s="20"/>
      <c r="PH13" s="20"/>
      <c r="PI13" s="20"/>
      <c r="PJ13" s="20"/>
      <c r="PK13" s="20"/>
      <c r="PL13" s="20"/>
      <c r="PM13" s="20"/>
      <c r="PN13" s="20"/>
      <c r="PO13" s="20"/>
      <c r="PP13" s="20"/>
      <c r="PQ13" s="20"/>
      <c r="PR13" s="20"/>
      <c r="PS13" s="20"/>
      <c r="PT13" s="20"/>
      <c r="PU13" s="20"/>
      <c r="PV13" s="20"/>
      <c r="PW13" s="20"/>
      <c r="PX13" s="20"/>
      <c r="PY13" s="20"/>
      <c r="PZ13" s="20"/>
      <c r="QA13" s="20"/>
      <c r="QB13" s="20"/>
      <c r="QC13" s="20"/>
      <c r="QD13" s="20"/>
      <c r="QE13" s="20"/>
      <c r="QF13" s="20"/>
      <c r="QG13" s="20"/>
      <c r="QH13" s="20"/>
      <c r="QI13" s="20"/>
      <c r="QJ13" s="20"/>
      <c r="QK13" s="20"/>
      <c r="QL13" s="20"/>
      <c r="QM13" s="20"/>
      <c r="QN13" s="20"/>
      <c r="QO13" s="20"/>
      <c r="QP13" s="20"/>
      <c r="QQ13" s="20"/>
      <c r="QR13" s="20"/>
      <c r="QS13" s="20"/>
      <c r="QT13" s="20"/>
      <c r="QU13" s="20"/>
      <c r="QV13" s="20"/>
      <c r="QW13" s="20"/>
      <c r="QX13" s="20"/>
      <c r="QY13" s="20"/>
      <c r="QZ13" s="20"/>
      <c r="RA13" s="20"/>
      <c r="RB13" s="20"/>
      <c r="RC13" s="20"/>
      <c r="RD13" s="20"/>
      <c r="RE13" s="20"/>
      <c r="RF13" s="20"/>
      <c r="RG13" s="20"/>
      <c r="RH13" s="20"/>
      <c r="RI13" s="20"/>
      <c r="RJ13" s="20"/>
      <c r="RK13" s="20"/>
      <c r="RL13" s="20"/>
      <c r="RM13" s="20"/>
      <c r="RN13" s="20"/>
      <c r="RO13" s="20"/>
      <c r="RP13" s="20"/>
      <c r="RQ13" s="20"/>
      <c r="RR13" s="20"/>
      <c r="RS13" s="20"/>
      <c r="RT13" s="20"/>
      <c r="RU13" s="20"/>
      <c r="RV13" s="20"/>
      <c r="RW13" s="20"/>
      <c r="RX13" s="20"/>
      <c r="RY13" s="20"/>
      <c r="RZ13" s="20"/>
      <c r="SA13" s="20"/>
      <c r="SB13" s="20"/>
      <c r="SC13" s="20"/>
      <c r="SD13" s="20"/>
      <c r="SE13" s="20"/>
      <c r="SF13" s="20"/>
      <c r="SG13" s="20"/>
      <c r="SH13" s="20"/>
      <c r="SI13" s="20"/>
      <c r="SJ13" s="20"/>
      <c r="SK13" s="20"/>
      <c r="SL13" s="20"/>
      <c r="SM13" s="20"/>
      <c r="SN13" s="20"/>
      <c r="SO13" s="20"/>
      <c r="SP13" s="20"/>
      <c r="SQ13" s="20"/>
      <c r="SR13" s="20"/>
      <c r="SS13" s="20"/>
      <c r="ST13" s="20"/>
      <c r="SU13" s="20"/>
      <c r="SV13" s="20"/>
      <c r="SW13" s="20"/>
      <c r="SX13" s="20"/>
      <c r="SY13" s="20"/>
      <c r="SZ13" s="20"/>
      <c r="TA13" s="20"/>
      <c r="TB13" s="20"/>
      <c r="TC13" s="20"/>
      <c r="TD13" s="20"/>
      <c r="TE13" s="20"/>
      <c r="TF13" s="20"/>
      <c r="TG13" s="20"/>
      <c r="TH13" s="20"/>
      <c r="TI13" s="20"/>
      <c r="TJ13" s="20"/>
      <c r="TK13" s="20"/>
      <c r="TL13" s="20"/>
      <c r="TM13" s="20"/>
      <c r="TN13" s="20"/>
      <c r="TO13" s="20"/>
      <c r="TP13" s="20"/>
      <c r="TQ13" s="20"/>
      <c r="TR13" s="20"/>
      <c r="TS13" s="20"/>
      <c r="TT13" s="20"/>
      <c r="TU13" s="20"/>
      <c r="TV13" s="20"/>
      <c r="TW13" s="20"/>
      <c r="TX13" s="20"/>
      <c r="TY13" s="20"/>
      <c r="TZ13" s="20"/>
      <c r="UA13" s="20"/>
      <c r="UB13" s="20"/>
      <c r="UC13" s="20"/>
      <c r="UD13" s="20"/>
      <c r="UE13" s="20"/>
      <c r="UF13" s="20"/>
      <c r="UG13" s="20"/>
      <c r="UH13" s="20"/>
      <c r="UI13" s="20"/>
      <c r="UJ13" s="20"/>
      <c r="UK13" s="20"/>
      <c r="UL13" s="20"/>
      <c r="UM13" s="20"/>
      <c r="UN13" s="20"/>
      <c r="UO13" s="20"/>
      <c r="UP13" s="20"/>
      <c r="UQ13" s="20"/>
      <c r="UR13" s="20"/>
      <c r="US13" s="20"/>
      <c r="UT13" s="20"/>
      <c r="UU13" s="20"/>
      <c r="UV13" s="20"/>
      <c r="UW13" s="20"/>
      <c r="UX13" s="20"/>
      <c r="UY13" s="20"/>
      <c r="UZ13" s="20"/>
      <c r="VA13" s="20"/>
      <c r="VB13" s="20"/>
      <c r="VC13" s="20"/>
      <c r="VD13" s="20"/>
      <c r="VE13" s="20"/>
      <c r="VF13" s="20"/>
      <c r="VG13" s="20"/>
      <c r="VH13" s="20"/>
      <c r="VI13" s="20"/>
      <c r="VJ13" s="20"/>
      <c r="VK13" s="20"/>
      <c r="VL13" s="20"/>
      <c r="VM13" s="20"/>
      <c r="VN13" s="20"/>
      <c r="VO13" s="20"/>
      <c r="VP13" s="20"/>
      <c r="VQ13" s="20"/>
      <c r="VR13" s="20"/>
      <c r="VS13" s="20"/>
      <c r="VT13" s="20"/>
      <c r="VU13" s="20"/>
      <c r="VV13" s="20"/>
      <c r="VW13" s="20"/>
      <c r="VX13" s="20"/>
      <c r="VY13" s="20"/>
      <c r="VZ13" s="20"/>
      <c r="WA13" s="20"/>
      <c r="WB13" s="20"/>
      <c r="WC13" s="20"/>
      <c r="WD13" s="20"/>
      <c r="WE13" s="20"/>
      <c r="WF13" s="20"/>
      <c r="WG13" s="20"/>
      <c r="WH13" s="20"/>
      <c r="WI13" s="20"/>
      <c r="WJ13" s="20"/>
      <c r="WK13" s="20"/>
      <c r="WL13" s="20"/>
      <c r="WM13" s="20"/>
      <c r="WN13" s="20"/>
      <c r="WO13" s="20"/>
      <c r="WP13" s="20"/>
      <c r="WQ13" s="20"/>
      <c r="WR13" s="20"/>
      <c r="WS13" s="20"/>
      <c r="WT13" s="20"/>
      <c r="WU13" s="20"/>
      <c r="WV13" s="20"/>
      <c r="WW13" s="20"/>
      <c r="WX13" s="20"/>
      <c r="WY13" s="20"/>
      <c r="WZ13" s="20"/>
      <c r="XA13" s="20"/>
      <c r="XB13" s="20"/>
      <c r="XC13" s="20"/>
      <c r="XD13" s="20"/>
      <c r="XE13" s="20"/>
      <c r="XF13" s="20"/>
      <c r="XG13" s="20"/>
      <c r="XH13" s="20"/>
      <c r="XI13" s="20"/>
      <c r="XJ13" s="20"/>
      <c r="XK13" s="20"/>
      <c r="XL13" s="20"/>
      <c r="XM13" s="20"/>
      <c r="XN13" s="20"/>
      <c r="XO13" s="20"/>
      <c r="XP13" s="20"/>
      <c r="XQ13" s="20"/>
      <c r="XR13" s="20"/>
      <c r="XS13" s="20"/>
      <c r="XT13" s="20"/>
      <c r="XU13" s="20"/>
      <c r="XV13" s="20"/>
      <c r="XW13" s="20"/>
      <c r="XX13" s="20"/>
      <c r="XY13" s="20"/>
      <c r="XZ13" s="20"/>
      <c r="YA13" s="20"/>
      <c r="YB13" s="20"/>
      <c r="YC13" s="20"/>
      <c r="YD13" s="20"/>
      <c r="YE13" s="20"/>
      <c r="YF13" s="20"/>
      <c r="YG13" s="20"/>
      <c r="YH13" s="20"/>
      <c r="YI13" s="20"/>
      <c r="YJ13" s="20"/>
      <c r="YK13" s="20"/>
      <c r="YL13" s="20"/>
      <c r="YM13" s="20"/>
      <c r="YN13" s="20"/>
      <c r="YO13" s="20"/>
      <c r="YP13" s="20"/>
      <c r="YQ13" s="20"/>
      <c r="YR13" s="20"/>
      <c r="YS13" s="20"/>
      <c r="YT13" s="20"/>
      <c r="YU13" s="20"/>
      <c r="YV13" s="20"/>
      <c r="YW13" s="20"/>
      <c r="YX13" s="20"/>
      <c r="YY13" s="20"/>
      <c r="YZ13" s="20"/>
      <c r="ZA13" s="20"/>
      <c r="ZB13" s="20"/>
      <c r="ZC13" s="20"/>
      <c r="ZD13" s="20"/>
      <c r="ZE13" s="20"/>
      <c r="ZF13" s="20"/>
      <c r="ZG13" s="20"/>
      <c r="ZH13" s="20"/>
      <c r="ZI13" s="20"/>
      <c r="ZJ13" s="20"/>
      <c r="ZK13" s="20"/>
      <c r="ZL13" s="20"/>
      <c r="ZM13" s="20"/>
      <c r="ZN13" s="20"/>
      <c r="ZO13" s="20"/>
      <c r="ZP13" s="20"/>
      <c r="ZQ13" s="20"/>
      <c r="ZR13" s="20"/>
      <c r="ZS13" s="20"/>
      <c r="ZT13" s="20"/>
      <c r="ZU13" s="20"/>
      <c r="ZV13" s="20"/>
      <c r="ZW13" s="20"/>
      <c r="ZX13" s="20"/>
      <c r="ZY13" s="20"/>
      <c r="ZZ13" s="20"/>
      <c r="AAA13" s="20"/>
      <c r="AAB13" s="20"/>
      <c r="AAC13" s="20"/>
      <c r="AAD13" s="20"/>
      <c r="AAE13" s="20"/>
      <c r="AAF13" s="20"/>
      <c r="AAG13" s="20"/>
      <c r="AAH13" s="20"/>
      <c r="AAI13" s="20"/>
      <c r="AAJ13" s="20"/>
      <c r="AAK13" s="20"/>
      <c r="AAL13" s="20"/>
      <c r="AAM13" s="20"/>
      <c r="AAN13" s="20"/>
      <c r="AAO13" s="20"/>
      <c r="AAP13" s="20"/>
      <c r="AAQ13" s="20"/>
      <c r="AAR13" s="20"/>
      <c r="AAS13" s="20"/>
      <c r="AAT13" s="20"/>
      <c r="AAU13" s="20"/>
      <c r="AAV13" s="20"/>
      <c r="AAW13" s="20"/>
      <c r="AAX13" s="20"/>
      <c r="AAY13" s="20"/>
      <c r="AAZ13" s="20"/>
      <c r="ABA13" s="20"/>
      <c r="ABB13" s="20"/>
      <c r="ABC13" s="20"/>
      <c r="ABD13" s="20"/>
      <c r="ABE13" s="20"/>
      <c r="ABF13" s="20"/>
      <c r="ABG13" s="20"/>
      <c r="ABH13" s="20"/>
      <c r="ABI13" s="20"/>
      <c r="ABJ13" s="20"/>
      <c r="ABK13" s="20"/>
      <c r="ABL13" s="20"/>
      <c r="ABM13" s="20"/>
      <c r="ABN13" s="20"/>
      <c r="ABO13" s="20"/>
      <c r="ABP13" s="20"/>
      <c r="ABQ13" s="20"/>
      <c r="ABR13" s="20"/>
      <c r="ABS13" s="20"/>
      <c r="ABT13" s="20"/>
      <c r="ABU13" s="20"/>
      <c r="ABV13" s="20"/>
      <c r="ABW13" s="20"/>
      <c r="ABX13" s="20"/>
      <c r="ABY13" s="20"/>
      <c r="ABZ13" s="20"/>
      <c r="ACA13" s="20"/>
      <c r="ACB13" s="20"/>
      <c r="ACC13" s="20"/>
      <c r="ACD13" s="20"/>
      <c r="ACE13" s="20"/>
      <c r="ACF13" s="20"/>
      <c r="ACG13" s="20"/>
      <c r="ACH13" s="20"/>
      <c r="ACI13" s="20"/>
      <c r="ACJ13" s="20"/>
      <c r="ACK13" s="20"/>
      <c r="ACL13" s="20"/>
      <c r="ACM13" s="20"/>
      <c r="ACN13" s="20"/>
      <c r="ACO13" s="20"/>
      <c r="ACP13" s="20"/>
      <c r="ACQ13" s="20"/>
      <c r="ACR13" s="20"/>
      <c r="ACS13" s="20"/>
      <c r="ACT13" s="20"/>
      <c r="ACU13" s="20"/>
      <c r="ACV13" s="20"/>
      <c r="ACW13" s="20"/>
      <c r="ACX13" s="20"/>
      <c r="ACY13" s="20"/>
      <c r="ACZ13" s="20"/>
      <c r="ADA13" s="20"/>
      <c r="ADB13" s="20"/>
      <c r="ADC13" s="20"/>
      <c r="ADD13" s="20"/>
      <c r="ADE13" s="20"/>
      <c r="ADF13" s="20"/>
      <c r="ADG13" s="20"/>
      <c r="ADH13" s="20"/>
      <c r="ADI13" s="20"/>
      <c r="ADJ13" s="20"/>
      <c r="ADK13" s="20"/>
      <c r="ADL13" s="20"/>
      <c r="ADM13" s="20"/>
      <c r="ADN13" s="20"/>
      <c r="ADO13" s="20"/>
      <c r="ADP13" s="20"/>
      <c r="ADQ13" s="20"/>
      <c r="ADR13" s="20"/>
      <c r="ADS13" s="20"/>
      <c r="ADT13" s="20"/>
      <c r="ADU13" s="20"/>
      <c r="ADV13" s="20"/>
      <c r="ADW13" s="20"/>
      <c r="ADX13" s="20"/>
      <c r="ADY13" s="20"/>
      <c r="ADZ13" s="20"/>
      <c r="AEA13" s="20"/>
      <c r="AEB13" s="20"/>
      <c r="AEC13" s="20"/>
      <c r="AED13" s="20"/>
      <c r="AEE13" s="20"/>
      <c r="AEF13" s="20"/>
      <c r="AEG13" s="20"/>
      <c r="AEH13" s="20"/>
      <c r="AEI13" s="20"/>
      <c r="AEJ13" s="20"/>
      <c r="AEK13" s="20"/>
      <c r="AEL13" s="20"/>
      <c r="AEM13" s="20"/>
      <c r="AEN13" s="20"/>
      <c r="AEO13" s="20"/>
      <c r="AEP13" s="20"/>
      <c r="AEQ13" s="20"/>
      <c r="AER13" s="20"/>
      <c r="AES13" s="20"/>
      <c r="AET13" s="20"/>
      <c r="AEU13" s="20"/>
      <c r="AEV13" s="20"/>
      <c r="AEW13" s="20"/>
      <c r="AEX13" s="20"/>
      <c r="AEY13" s="20"/>
      <c r="AEZ13" s="20"/>
      <c r="AFA13" s="20"/>
      <c r="AFB13" s="20"/>
      <c r="AFC13" s="20"/>
      <c r="AFD13" s="20"/>
      <c r="AFE13" s="20"/>
      <c r="AFF13" s="20"/>
      <c r="AFG13" s="20"/>
      <c r="AFH13" s="20"/>
      <c r="AFI13" s="20"/>
      <c r="AFJ13" s="20"/>
      <c r="AFK13" s="20"/>
      <c r="AFL13" s="20"/>
      <c r="AFM13" s="20"/>
      <c r="AFN13" s="20"/>
      <c r="AFO13" s="20"/>
      <c r="AFP13" s="20"/>
      <c r="AFQ13" s="20"/>
      <c r="AFR13" s="20"/>
      <c r="AFS13" s="20"/>
      <c r="AFT13" s="20"/>
      <c r="AFU13" s="20"/>
      <c r="AFV13" s="20"/>
      <c r="AFW13" s="20"/>
      <c r="AFX13" s="20"/>
      <c r="AFY13" s="20"/>
      <c r="AFZ13" s="20"/>
      <c r="AGA13" s="20"/>
      <c r="AGB13" s="20"/>
      <c r="AGC13" s="20"/>
      <c r="AGD13" s="20"/>
      <c r="AGE13" s="20"/>
      <c r="AGF13" s="20"/>
      <c r="AGG13" s="20"/>
      <c r="AGH13" s="20"/>
      <c r="AGI13" s="20"/>
      <c r="AGJ13" s="20"/>
      <c r="AGK13" s="20"/>
      <c r="AGL13" s="20"/>
      <c r="AGM13" s="20"/>
      <c r="AGN13" s="20"/>
      <c r="AGO13" s="20"/>
      <c r="AGP13" s="20"/>
      <c r="AGQ13" s="20"/>
      <c r="AGR13" s="20"/>
      <c r="AGS13" s="20"/>
      <c r="AGT13" s="20"/>
      <c r="AGU13" s="20"/>
      <c r="AGV13" s="20"/>
      <c r="AGW13" s="20"/>
      <c r="AGX13" s="20"/>
      <c r="AGY13" s="20"/>
      <c r="AGZ13" s="20"/>
      <c r="AHA13" s="20"/>
      <c r="AHB13" s="20"/>
      <c r="AHC13" s="20"/>
      <c r="AHD13" s="20"/>
      <c r="AHE13" s="20"/>
      <c r="AHF13" s="20"/>
      <c r="AHG13" s="20"/>
      <c r="AHH13" s="20"/>
      <c r="AHI13" s="20"/>
      <c r="AHJ13" s="20"/>
      <c r="AHK13" s="20"/>
      <c r="AHL13" s="20"/>
      <c r="AHM13" s="20"/>
      <c r="AHN13" s="20"/>
      <c r="AHO13" s="20"/>
      <c r="AHP13" s="20"/>
      <c r="AHQ13" s="20"/>
      <c r="AHR13" s="20"/>
      <c r="AHS13" s="20"/>
      <c r="AHT13" s="20"/>
      <c r="AHU13" s="20"/>
      <c r="AHV13" s="20"/>
      <c r="AHW13" s="20"/>
      <c r="AHX13" s="20"/>
      <c r="AHY13" s="20"/>
      <c r="AHZ13" s="20"/>
      <c r="AIA13" s="20"/>
      <c r="AIB13" s="20"/>
      <c r="AIC13" s="20"/>
      <c r="AID13" s="20"/>
      <c r="AIE13" s="20"/>
      <c r="AIF13" s="20"/>
      <c r="AIG13" s="20"/>
      <c r="AIH13" s="20"/>
      <c r="AII13" s="20"/>
      <c r="AIJ13" s="20"/>
      <c r="AIK13" s="20"/>
      <c r="AIL13" s="20"/>
      <c r="AIM13" s="20"/>
      <c r="AIN13" s="20"/>
      <c r="AIO13" s="20"/>
      <c r="AIP13" s="20"/>
      <c r="AIQ13" s="20"/>
      <c r="AIR13" s="20"/>
      <c r="AIS13" s="20"/>
      <c r="AIT13" s="20"/>
      <c r="AIU13" s="20"/>
      <c r="AIV13" s="20"/>
      <c r="AIW13" s="20"/>
      <c r="AIX13" s="20"/>
      <c r="AIY13" s="20"/>
      <c r="AIZ13" s="20"/>
      <c r="AJA13" s="20"/>
      <c r="AJB13" s="20"/>
      <c r="AJC13" s="20"/>
      <c r="AJD13" s="20"/>
      <c r="AJE13" s="20"/>
      <c r="AJF13" s="20"/>
      <c r="AJG13" s="20"/>
      <c r="AJH13" s="20"/>
      <c r="AJI13" s="20"/>
      <c r="AJJ13" s="20"/>
      <c r="AJK13" s="20"/>
      <c r="AJL13" s="20"/>
      <c r="AJM13" s="20"/>
      <c r="AJN13" s="20"/>
      <c r="AJO13" s="20"/>
      <c r="AJP13" s="20"/>
      <c r="AJQ13" s="20"/>
      <c r="AJR13" s="20"/>
      <c r="AJS13" s="20"/>
      <c r="AJT13" s="20"/>
      <c r="AJU13" s="20"/>
      <c r="AJV13" s="20"/>
      <c r="AJW13" s="20"/>
      <c r="AJX13" s="20"/>
      <c r="AJY13" s="20"/>
      <c r="AJZ13" s="20"/>
      <c r="AKA13" s="20"/>
      <c r="AKB13" s="20"/>
      <c r="AKC13" s="20"/>
      <c r="AKD13" s="20"/>
      <c r="AKE13" s="20"/>
      <c r="AKF13" s="20"/>
      <c r="AKG13" s="20"/>
      <c r="AKH13" s="20"/>
      <c r="AKI13" s="20"/>
      <c r="AKJ13" s="20"/>
      <c r="AKK13" s="20"/>
      <c r="AKL13" s="20"/>
      <c r="AKM13" s="20"/>
      <c r="AKN13" s="20"/>
      <c r="AKO13" s="20"/>
      <c r="AKP13" s="20"/>
      <c r="AKQ13" s="20"/>
      <c r="AKR13" s="20"/>
      <c r="AKS13" s="20"/>
      <c r="AKT13" s="20"/>
      <c r="AKU13" s="20"/>
      <c r="AKV13" s="20"/>
      <c r="AKW13" s="20"/>
      <c r="AKX13" s="20"/>
      <c r="AKY13" s="20"/>
      <c r="AKZ13" s="20"/>
      <c r="ALA13" s="20"/>
      <c r="ALB13" s="20"/>
      <c r="ALC13" s="20"/>
      <c r="ALD13" s="20"/>
      <c r="ALE13" s="20"/>
      <c r="ALF13" s="20"/>
      <c r="ALG13" s="20"/>
      <c r="ALH13" s="20"/>
      <c r="ALI13" s="20"/>
      <c r="ALJ13" s="20"/>
      <c r="ALK13" s="20"/>
      <c r="ALL13" s="20"/>
      <c r="ALM13" s="20"/>
      <c r="ALN13" s="20"/>
      <c r="ALO13" s="20"/>
      <c r="ALP13" s="20"/>
      <c r="ALQ13" s="20"/>
      <c r="ALR13" s="20"/>
      <c r="ALS13" s="20"/>
      <c r="ALT13" s="20"/>
      <c r="ALU13" s="20"/>
      <c r="ALV13" s="20"/>
      <c r="ALW13" s="20"/>
      <c r="ALX13" s="20"/>
      <c r="ALY13" s="20"/>
      <c r="ALZ13" s="20"/>
      <c r="AMA13" s="20"/>
      <c r="AMB13" s="20"/>
      <c r="AMC13" s="20"/>
      <c r="AMD13" s="20"/>
      <c r="AME13" s="20"/>
      <c r="AMF13" s="20"/>
      <c r="AMG13" s="20"/>
      <c r="AMH13" s="20"/>
      <c r="AMI13" s="20"/>
      <c r="AMJ13" s="20"/>
      <c r="AMK13" s="20"/>
      <c r="AML13" s="20"/>
      <c r="AMM13" s="20"/>
      <c r="AMN13" s="20"/>
      <c r="AMO13" s="20"/>
      <c r="AMP13" s="20"/>
      <c r="AMQ13" s="20"/>
      <c r="AMR13" s="20"/>
      <c r="AMS13" s="20"/>
      <c r="AMT13" s="20"/>
      <c r="AMU13" s="20"/>
      <c r="AMV13" s="20"/>
      <c r="AMW13" s="20"/>
      <c r="AMX13" s="20"/>
      <c r="AMY13" s="20"/>
      <c r="AMZ13" s="20"/>
      <c r="ANA13" s="20"/>
      <c r="ANB13" s="20"/>
      <c r="ANC13" s="20"/>
      <c r="AND13" s="20"/>
      <c r="ANE13" s="20"/>
      <c r="ANF13" s="20"/>
      <c r="ANG13" s="20"/>
      <c r="ANH13" s="20"/>
      <c r="ANI13" s="20"/>
      <c r="ANJ13" s="20"/>
      <c r="ANK13" s="20"/>
      <c r="ANL13" s="20"/>
      <c r="ANM13" s="20"/>
      <c r="ANN13" s="20"/>
      <c r="ANO13" s="20"/>
      <c r="ANP13" s="20"/>
      <c r="ANQ13" s="20"/>
      <c r="ANR13" s="20"/>
      <c r="ANS13" s="20"/>
      <c r="ANT13" s="20"/>
      <c r="ANU13" s="20"/>
      <c r="ANV13" s="20"/>
      <c r="ANW13" s="20"/>
      <c r="ANX13" s="20"/>
      <c r="ANY13" s="20"/>
      <c r="ANZ13" s="20"/>
      <c r="AOA13" s="20"/>
      <c r="AOB13" s="20"/>
      <c r="AOC13" s="20"/>
      <c r="AOD13" s="20"/>
      <c r="AOE13" s="20"/>
      <c r="AOF13" s="20"/>
      <c r="AOG13" s="20"/>
      <c r="AOH13" s="20"/>
      <c r="AOI13" s="20"/>
      <c r="AOJ13" s="20"/>
      <c r="AOK13" s="20"/>
      <c r="AOL13" s="20"/>
      <c r="AOM13" s="20"/>
      <c r="AON13" s="20"/>
      <c r="AOO13" s="20"/>
      <c r="AOP13" s="20"/>
      <c r="AOQ13" s="20"/>
      <c r="AOR13" s="20"/>
      <c r="AOS13" s="20"/>
      <c r="AOT13" s="20"/>
      <c r="AOU13" s="20"/>
      <c r="AOV13" s="20"/>
      <c r="AOW13" s="20"/>
      <c r="AOX13" s="20"/>
      <c r="AOY13" s="20"/>
      <c r="AOZ13" s="20"/>
      <c r="APA13" s="20"/>
      <c r="APB13" s="20"/>
      <c r="APC13" s="20"/>
      <c r="APD13" s="20"/>
      <c r="APE13" s="20"/>
      <c r="APF13" s="20"/>
      <c r="APG13" s="20"/>
      <c r="APH13" s="20"/>
      <c r="API13" s="20"/>
      <c r="APJ13" s="20"/>
      <c r="APK13" s="20"/>
      <c r="APL13" s="20"/>
      <c r="APM13" s="20"/>
      <c r="APN13" s="20"/>
      <c r="APO13" s="20"/>
      <c r="APP13" s="20"/>
      <c r="APQ13" s="20"/>
      <c r="APR13" s="20"/>
      <c r="APS13" s="20"/>
      <c r="APT13" s="20"/>
      <c r="APU13" s="20"/>
      <c r="APV13" s="20"/>
      <c r="APW13" s="20"/>
      <c r="APX13" s="20"/>
      <c r="APY13" s="20"/>
      <c r="APZ13" s="20"/>
      <c r="AQA13" s="20"/>
      <c r="AQB13" s="20"/>
      <c r="AQC13" s="20"/>
      <c r="AQD13" s="20"/>
      <c r="AQE13" s="20"/>
      <c r="AQF13" s="20"/>
      <c r="AQG13" s="20"/>
      <c r="AQH13" s="20"/>
      <c r="AQI13" s="20"/>
      <c r="AQJ13" s="20"/>
      <c r="AQK13" s="20"/>
      <c r="AQL13" s="20"/>
      <c r="AQM13" s="20"/>
      <c r="AQN13" s="20"/>
      <c r="AQO13" s="20"/>
      <c r="AQP13" s="20"/>
      <c r="AQQ13" s="20"/>
      <c r="AQR13" s="20"/>
      <c r="AQS13" s="20"/>
      <c r="AQT13" s="20"/>
      <c r="AQU13" s="20"/>
      <c r="AQV13" s="20"/>
      <c r="AQW13" s="20"/>
      <c r="AQX13" s="20"/>
      <c r="AQY13" s="20"/>
      <c r="AQZ13" s="20"/>
      <c r="ARA13" s="20"/>
      <c r="ARB13" s="20"/>
      <c r="ARC13" s="20"/>
      <c r="ARD13" s="20"/>
      <c r="ARE13" s="20"/>
      <c r="ARF13" s="20"/>
      <c r="ARG13" s="20"/>
      <c r="ARH13" s="20"/>
      <c r="ARI13" s="20"/>
      <c r="ARJ13" s="20"/>
      <c r="ARK13" s="20"/>
      <c r="ARL13" s="20"/>
      <c r="ARM13" s="20"/>
      <c r="ARN13" s="20"/>
      <c r="ARO13" s="20"/>
      <c r="ARP13" s="20"/>
      <c r="ARQ13" s="20"/>
      <c r="ARR13" s="20"/>
      <c r="ARS13" s="20"/>
      <c r="ART13" s="20"/>
      <c r="ARU13" s="20"/>
      <c r="ARV13" s="20"/>
      <c r="ARW13" s="20"/>
      <c r="ARX13" s="20"/>
      <c r="ARY13" s="20"/>
      <c r="ARZ13" s="20"/>
      <c r="ASA13" s="20"/>
      <c r="ASB13" s="20"/>
      <c r="ASC13" s="20"/>
      <c r="ASD13" s="20"/>
      <c r="ASE13" s="20"/>
      <c r="ASF13" s="20"/>
      <c r="ASG13" s="20"/>
      <c r="ASH13" s="20"/>
      <c r="ASI13" s="20"/>
      <c r="ASJ13" s="20"/>
      <c r="ASK13" s="20"/>
      <c r="ASL13" s="20"/>
      <c r="ASM13" s="20"/>
      <c r="ASN13" s="20"/>
      <c r="ASO13" s="20"/>
      <c r="ASP13" s="20"/>
      <c r="ASQ13" s="20"/>
      <c r="ASR13" s="20"/>
      <c r="ASS13" s="20"/>
      <c r="AST13" s="20"/>
      <c r="ASU13" s="20"/>
      <c r="ASV13" s="20"/>
      <c r="ASW13" s="20"/>
      <c r="ASX13" s="20"/>
      <c r="ASY13" s="20"/>
      <c r="ASZ13" s="20"/>
      <c r="ATA13" s="20"/>
      <c r="ATB13" s="20"/>
      <c r="ATC13" s="20"/>
      <c r="ATD13" s="20"/>
      <c r="ATE13" s="20"/>
      <c r="ATF13" s="20"/>
      <c r="ATG13" s="20"/>
      <c r="ATH13" s="20"/>
      <c r="ATI13" s="20"/>
      <c r="ATJ13" s="20"/>
      <c r="ATK13" s="20"/>
      <c r="ATL13" s="20"/>
      <c r="ATM13" s="20"/>
      <c r="ATN13" s="20"/>
      <c r="ATO13" s="20"/>
      <c r="ATP13" s="20"/>
      <c r="ATQ13" s="20"/>
      <c r="ATR13" s="20"/>
      <c r="ATS13" s="20"/>
      <c r="ATT13" s="20"/>
      <c r="ATU13" s="20"/>
      <c r="ATV13" s="20"/>
      <c r="ATW13" s="20"/>
      <c r="ATX13" s="20"/>
      <c r="ATY13" s="20"/>
      <c r="ATZ13" s="20"/>
      <c r="AUA13" s="20"/>
      <c r="AUB13" s="20"/>
      <c r="AUC13" s="20"/>
      <c r="AUD13" s="20"/>
      <c r="AUE13" s="20"/>
      <c r="AUF13" s="20"/>
      <c r="AUG13" s="20"/>
      <c r="AUH13" s="20"/>
      <c r="AUI13" s="20"/>
      <c r="AUJ13" s="20"/>
      <c r="AUK13" s="20"/>
      <c r="AUL13" s="20"/>
      <c r="AUM13" s="20"/>
      <c r="AUN13" s="20"/>
      <c r="AUO13" s="20"/>
      <c r="AUP13" s="20"/>
      <c r="AUQ13" s="20"/>
      <c r="AUR13" s="20"/>
      <c r="AUS13" s="20"/>
      <c r="AUT13" s="20"/>
      <c r="AUU13" s="20"/>
      <c r="AUV13" s="20"/>
      <c r="AUW13" s="20"/>
      <c r="AUX13" s="20"/>
      <c r="AUY13" s="20"/>
      <c r="AUZ13" s="20"/>
      <c r="AVA13" s="20"/>
      <c r="AVB13" s="20"/>
      <c r="AVC13" s="20"/>
      <c r="AVD13" s="20"/>
      <c r="AVE13" s="20"/>
      <c r="AVF13" s="20"/>
      <c r="AVG13" s="20"/>
      <c r="AVH13" s="20"/>
      <c r="AVI13" s="20"/>
      <c r="AVJ13" s="20"/>
      <c r="AVK13" s="20"/>
      <c r="AVL13" s="20"/>
      <c r="AVM13" s="20"/>
      <c r="AVN13" s="20"/>
      <c r="AVO13" s="20"/>
      <c r="AVP13" s="20"/>
      <c r="AVQ13" s="20"/>
      <c r="AVR13" s="20"/>
      <c r="AVS13" s="20"/>
      <c r="AVT13" s="20"/>
      <c r="AVU13" s="20"/>
      <c r="AVV13" s="20"/>
      <c r="AVW13" s="20"/>
      <c r="AVX13" s="20"/>
      <c r="AVY13" s="20"/>
      <c r="AVZ13" s="20"/>
      <c r="AWA13" s="20"/>
      <c r="AWB13" s="20"/>
      <c r="AWC13" s="20"/>
      <c r="AWD13" s="20"/>
      <c r="AWE13" s="20"/>
      <c r="AWF13" s="20"/>
      <c r="AWG13" s="20"/>
      <c r="AWH13" s="20"/>
      <c r="AWI13" s="20"/>
      <c r="AWJ13" s="20"/>
      <c r="AWK13" s="20"/>
      <c r="AWL13" s="20"/>
      <c r="AWM13" s="20"/>
      <c r="AWN13" s="20"/>
      <c r="AWO13" s="20"/>
      <c r="AWP13" s="20"/>
      <c r="AWQ13" s="20"/>
      <c r="AWR13" s="20"/>
      <c r="AWS13" s="20"/>
      <c r="AWT13" s="20"/>
      <c r="AWU13" s="20"/>
      <c r="AWV13" s="20"/>
      <c r="AWW13" s="20"/>
      <c r="AWX13" s="20"/>
      <c r="AWY13" s="20"/>
      <c r="AWZ13" s="20"/>
      <c r="AXA13" s="20"/>
      <c r="AXB13" s="20"/>
      <c r="AXC13" s="20"/>
      <c r="AXD13" s="20"/>
      <c r="AXE13" s="20"/>
      <c r="AXF13" s="20"/>
      <c r="AXG13" s="20"/>
      <c r="AXH13" s="20"/>
      <c r="AXI13" s="20"/>
      <c r="AXJ13" s="20"/>
      <c r="AXK13" s="20"/>
      <c r="AXL13" s="20"/>
      <c r="AXM13" s="20"/>
      <c r="AXN13" s="20"/>
      <c r="AXO13" s="20"/>
      <c r="AXP13" s="20"/>
      <c r="AXQ13" s="20"/>
      <c r="AXR13" s="20"/>
      <c r="AXS13" s="20"/>
      <c r="AXT13" s="20"/>
      <c r="AXU13" s="20"/>
      <c r="AXV13" s="20"/>
      <c r="AXW13" s="20"/>
      <c r="AXX13" s="20"/>
      <c r="AXY13" s="20"/>
      <c r="AXZ13" s="20"/>
      <c r="AYA13" s="20"/>
      <c r="AYB13" s="20"/>
      <c r="AYC13" s="20"/>
      <c r="AYD13" s="20"/>
      <c r="AYE13" s="20"/>
      <c r="AYF13" s="20"/>
      <c r="AYG13" s="20"/>
      <c r="AYH13" s="20"/>
      <c r="AYI13" s="20"/>
      <c r="AYJ13" s="20"/>
      <c r="AYK13" s="20"/>
      <c r="AYL13" s="20"/>
      <c r="AYM13" s="20"/>
      <c r="AYN13" s="20"/>
      <c r="AYO13" s="20"/>
      <c r="AYP13" s="20"/>
      <c r="AYQ13" s="20"/>
      <c r="AYR13" s="20"/>
      <c r="AYS13" s="20"/>
      <c r="AYT13" s="20"/>
      <c r="AYU13" s="20"/>
      <c r="AYV13" s="20"/>
      <c r="AYW13" s="20"/>
      <c r="AYX13" s="20"/>
      <c r="AYY13" s="20"/>
      <c r="AYZ13" s="20"/>
      <c r="AZA13" s="20"/>
      <c r="AZB13" s="20"/>
      <c r="AZC13" s="20"/>
      <c r="AZD13" s="20"/>
      <c r="AZE13" s="20"/>
      <c r="AZF13" s="20"/>
      <c r="AZG13" s="20"/>
      <c r="AZH13" s="20"/>
      <c r="AZI13" s="20"/>
      <c r="AZJ13" s="20"/>
      <c r="AZK13" s="20"/>
      <c r="AZL13" s="20"/>
      <c r="AZM13" s="20"/>
      <c r="AZN13" s="20"/>
      <c r="AZO13" s="20"/>
      <c r="AZP13" s="20"/>
      <c r="AZQ13" s="20"/>
      <c r="AZR13" s="20"/>
      <c r="AZS13" s="20"/>
      <c r="AZT13" s="20"/>
      <c r="AZU13" s="20"/>
      <c r="AZV13" s="20"/>
      <c r="AZW13" s="20"/>
      <c r="AZX13" s="20"/>
      <c r="AZY13" s="20"/>
      <c r="AZZ13" s="20"/>
      <c r="BAA13" s="20"/>
      <c r="BAB13" s="20"/>
      <c r="BAC13" s="20"/>
      <c r="BAD13" s="20"/>
      <c r="BAE13" s="20"/>
      <c r="BAF13" s="20"/>
      <c r="BAG13" s="20"/>
      <c r="BAH13" s="20"/>
      <c r="BAI13" s="20"/>
      <c r="BAJ13" s="20"/>
      <c r="BAK13" s="20"/>
      <c r="BAL13" s="20"/>
      <c r="BAM13" s="20"/>
      <c r="BAN13" s="20"/>
      <c r="BAO13" s="20"/>
      <c r="BAP13" s="20"/>
      <c r="BAQ13" s="20"/>
      <c r="BAR13" s="20"/>
      <c r="BAS13" s="20"/>
      <c r="BAT13" s="20"/>
      <c r="BAU13" s="20"/>
      <c r="BAV13" s="20"/>
      <c r="BAW13" s="20"/>
      <c r="BAX13" s="20"/>
      <c r="BAY13" s="20"/>
      <c r="BAZ13" s="20"/>
      <c r="BBA13" s="20"/>
      <c r="BBB13" s="20"/>
      <c r="BBC13" s="20"/>
      <c r="BBD13" s="20"/>
      <c r="BBE13" s="20"/>
      <c r="BBF13" s="20"/>
      <c r="BBG13" s="20"/>
      <c r="BBH13" s="20"/>
      <c r="BBI13" s="20"/>
      <c r="BBJ13" s="20"/>
      <c r="BBK13" s="20"/>
      <c r="BBL13" s="20"/>
      <c r="BBM13" s="20"/>
      <c r="BBN13" s="20"/>
      <c r="BBO13" s="20"/>
      <c r="BBP13" s="20"/>
      <c r="BBQ13" s="20"/>
      <c r="BBR13" s="20"/>
      <c r="BBS13" s="20"/>
      <c r="BBT13" s="20"/>
      <c r="BBU13" s="20"/>
      <c r="BBV13" s="20"/>
      <c r="BBW13" s="20"/>
      <c r="BBX13" s="20"/>
      <c r="BBY13" s="20"/>
      <c r="BBZ13" s="20"/>
      <c r="BCA13" s="20"/>
      <c r="BCB13" s="20"/>
      <c r="BCC13" s="20"/>
      <c r="BCD13" s="20"/>
      <c r="BCE13" s="20"/>
      <c r="BCF13" s="20"/>
      <c r="BCG13" s="20"/>
      <c r="BCH13" s="20"/>
      <c r="BCI13" s="20"/>
      <c r="BCJ13" s="20"/>
      <c r="BCK13" s="20"/>
      <c r="BCL13" s="20"/>
      <c r="BCM13" s="20"/>
      <c r="BCN13" s="20"/>
      <c r="BCO13" s="20"/>
      <c r="BCP13" s="20"/>
      <c r="BCQ13" s="20"/>
      <c r="BCR13" s="20"/>
      <c r="BCS13" s="20"/>
      <c r="BCT13" s="20"/>
      <c r="BCU13" s="20"/>
      <c r="BCV13" s="20"/>
      <c r="BCW13" s="20"/>
      <c r="BCX13" s="20"/>
      <c r="BCY13" s="20"/>
      <c r="BCZ13" s="20"/>
      <c r="BDA13" s="20"/>
      <c r="BDB13" s="20"/>
      <c r="BDC13" s="20"/>
      <c r="BDD13" s="20"/>
      <c r="BDE13" s="20"/>
      <c r="BDF13" s="20"/>
      <c r="BDG13" s="20"/>
      <c r="BDH13" s="20"/>
      <c r="BDI13" s="20"/>
      <c r="BDJ13" s="20"/>
      <c r="BDK13" s="20"/>
      <c r="BDL13" s="20"/>
      <c r="BDM13" s="20"/>
      <c r="BDN13" s="20"/>
      <c r="BDO13" s="20"/>
      <c r="BDP13" s="20"/>
      <c r="BDQ13" s="20"/>
      <c r="BDR13" s="20"/>
      <c r="BDS13" s="20"/>
      <c r="BDT13" s="20"/>
      <c r="BDU13" s="20"/>
      <c r="BDV13" s="20"/>
      <c r="BDW13" s="20"/>
      <c r="BDX13" s="20"/>
      <c r="BDY13" s="20"/>
      <c r="BDZ13" s="20"/>
      <c r="BEA13" s="20"/>
      <c r="BEB13" s="20"/>
      <c r="BEC13" s="20"/>
      <c r="BED13" s="20"/>
      <c r="BEE13" s="20"/>
      <c r="BEF13" s="20"/>
      <c r="BEG13" s="20"/>
      <c r="BEH13" s="20"/>
      <c r="BEI13" s="20"/>
      <c r="BEJ13" s="20"/>
      <c r="BEK13" s="20"/>
      <c r="BEL13" s="20"/>
      <c r="BEM13" s="20"/>
      <c r="BEN13" s="20"/>
      <c r="BEO13" s="20"/>
      <c r="BEP13" s="20"/>
      <c r="BEQ13" s="20"/>
      <c r="BER13" s="20"/>
      <c r="BES13" s="20"/>
      <c r="BET13" s="20"/>
      <c r="BEU13" s="20"/>
      <c r="BEV13" s="20"/>
      <c r="BEW13" s="20"/>
      <c r="BEX13" s="20"/>
      <c r="BEY13" s="20"/>
      <c r="BEZ13" s="20"/>
      <c r="BFA13" s="20"/>
      <c r="BFB13" s="20"/>
      <c r="BFC13" s="20"/>
      <c r="BFD13" s="20"/>
      <c r="BFE13" s="20"/>
      <c r="BFF13" s="20"/>
      <c r="BFG13" s="20"/>
      <c r="BFH13" s="20"/>
      <c r="BFI13" s="20"/>
      <c r="BFJ13" s="20"/>
      <c r="BFK13" s="20"/>
      <c r="BFL13" s="20"/>
      <c r="BFM13" s="20"/>
      <c r="BFN13" s="20"/>
      <c r="BFO13" s="20"/>
      <c r="BFP13" s="20"/>
      <c r="BFQ13" s="20"/>
      <c r="BFR13" s="20"/>
      <c r="BFS13" s="20"/>
      <c r="BFT13" s="20"/>
      <c r="BFU13" s="20"/>
      <c r="BFV13" s="20"/>
      <c r="BFW13" s="20"/>
      <c r="BFX13" s="20"/>
      <c r="BFY13" s="20"/>
      <c r="BFZ13" s="20"/>
      <c r="BGA13" s="20"/>
      <c r="BGB13" s="20"/>
      <c r="BGC13" s="20"/>
      <c r="BGD13" s="20"/>
      <c r="BGE13" s="20"/>
      <c r="BGF13" s="20"/>
      <c r="BGG13" s="20"/>
      <c r="BGH13" s="20"/>
      <c r="BGI13" s="20"/>
      <c r="BGJ13" s="20"/>
      <c r="BGK13" s="20"/>
      <c r="BGL13" s="20"/>
      <c r="BGM13" s="20"/>
      <c r="BGN13" s="20"/>
      <c r="BGO13" s="20"/>
      <c r="BGP13" s="20"/>
      <c r="BGQ13" s="20"/>
      <c r="BGR13" s="20"/>
      <c r="BGS13" s="20"/>
      <c r="BGT13" s="20"/>
      <c r="BGU13" s="20"/>
      <c r="BGV13" s="20"/>
      <c r="BGW13" s="20"/>
      <c r="BGX13" s="20"/>
      <c r="BGY13" s="20"/>
      <c r="BGZ13" s="20"/>
      <c r="BHA13" s="20"/>
      <c r="BHB13" s="20"/>
      <c r="BHC13" s="20"/>
      <c r="BHD13" s="20"/>
      <c r="BHE13" s="20"/>
      <c r="BHF13" s="20"/>
      <c r="BHG13" s="20"/>
      <c r="BHH13" s="20"/>
      <c r="BHI13" s="20"/>
      <c r="BHJ13" s="20"/>
      <c r="BHK13" s="20"/>
      <c r="BHL13" s="20"/>
      <c r="BHM13" s="20"/>
      <c r="BHN13" s="20"/>
      <c r="BHO13" s="20"/>
      <c r="BHP13" s="20"/>
      <c r="BHQ13" s="20"/>
      <c r="BHR13" s="20"/>
      <c r="BHS13" s="20"/>
      <c r="BHT13" s="20"/>
      <c r="BHU13" s="20"/>
      <c r="BHV13" s="20"/>
      <c r="BHW13" s="20"/>
      <c r="BHX13" s="20"/>
      <c r="BHY13" s="20"/>
      <c r="BHZ13" s="20"/>
      <c r="BIA13" s="20"/>
      <c r="BIB13" s="20"/>
      <c r="BIC13" s="20"/>
      <c r="BID13" s="20"/>
      <c r="BIE13" s="20"/>
      <c r="BIF13" s="20"/>
      <c r="BIG13" s="20"/>
      <c r="BIH13" s="20"/>
      <c r="BII13" s="20"/>
      <c r="BIJ13" s="20"/>
      <c r="BIK13" s="20"/>
      <c r="BIL13" s="20"/>
      <c r="BIM13" s="20"/>
      <c r="BIN13" s="20"/>
      <c r="BIO13" s="20"/>
      <c r="BIP13" s="20"/>
      <c r="BIQ13" s="20"/>
      <c r="BIR13" s="20"/>
      <c r="BIS13" s="20"/>
      <c r="BIT13" s="20"/>
      <c r="BIU13" s="20"/>
      <c r="BIV13" s="20"/>
      <c r="BIW13" s="20"/>
      <c r="BIX13" s="20"/>
      <c r="BIY13" s="20"/>
      <c r="BIZ13" s="20"/>
      <c r="BJA13" s="20"/>
      <c r="BJB13" s="20"/>
      <c r="BJC13" s="20"/>
      <c r="BJD13" s="20"/>
      <c r="BJE13" s="20"/>
      <c r="BJF13" s="20"/>
      <c r="BJG13" s="20"/>
      <c r="BJH13" s="20"/>
      <c r="BJI13" s="20"/>
      <c r="BJJ13" s="20"/>
      <c r="BJK13" s="20"/>
      <c r="BJL13" s="20"/>
      <c r="BJM13" s="20"/>
      <c r="BJN13" s="20"/>
      <c r="BJO13" s="20"/>
      <c r="BJP13" s="20"/>
      <c r="BJQ13" s="20"/>
      <c r="BJR13" s="20"/>
      <c r="BJS13" s="20"/>
      <c r="BJT13" s="20"/>
      <c r="BJU13" s="20"/>
      <c r="BJV13" s="20"/>
      <c r="BJW13" s="20"/>
      <c r="BJX13" s="20"/>
      <c r="BJY13" s="20"/>
      <c r="BJZ13" s="20"/>
      <c r="BKA13" s="20"/>
      <c r="BKB13" s="20"/>
      <c r="BKC13" s="20"/>
      <c r="BKD13" s="20"/>
      <c r="BKE13" s="20"/>
      <c r="BKF13" s="20"/>
      <c r="BKG13" s="20"/>
      <c r="BKH13" s="20"/>
      <c r="BKI13" s="20"/>
      <c r="BKJ13" s="20"/>
      <c r="BKK13" s="20"/>
      <c r="BKL13" s="20"/>
      <c r="BKM13" s="20"/>
      <c r="BKN13" s="20"/>
      <c r="BKO13" s="20"/>
      <c r="BKP13" s="20"/>
      <c r="BKQ13" s="20"/>
      <c r="BKR13" s="20"/>
      <c r="BKS13" s="20"/>
      <c r="BKT13" s="20"/>
      <c r="BKU13" s="20"/>
      <c r="BKV13" s="20"/>
      <c r="BKW13" s="20"/>
      <c r="BKX13" s="20"/>
      <c r="BKY13" s="20"/>
      <c r="BKZ13" s="20"/>
      <c r="BLA13" s="20"/>
      <c r="BLB13" s="20"/>
      <c r="BLC13" s="20"/>
      <c r="BLD13" s="20"/>
      <c r="BLE13" s="20"/>
      <c r="BLF13" s="20"/>
      <c r="BLG13" s="20"/>
      <c r="BLH13" s="20"/>
      <c r="BLI13" s="20"/>
      <c r="BLJ13" s="20"/>
      <c r="BLK13" s="20"/>
      <c r="BLL13" s="20"/>
      <c r="BLM13" s="20"/>
      <c r="BLN13" s="20"/>
      <c r="BLO13" s="20"/>
      <c r="BLP13" s="20"/>
      <c r="BLQ13" s="20"/>
      <c r="BLR13" s="20"/>
      <c r="BLS13" s="20"/>
      <c r="BLT13" s="20"/>
      <c r="BLU13" s="20"/>
      <c r="BLV13" s="20"/>
      <c r="BLW13" s="20"/>
      <c r="BLX13" s="20"/>
      <c r="BLY13" s="20"/>
      <c r="BLZ13" s="20"/>
      <c r="BMA13" s="20"/>
      <c r="BMB13" s="20"/>
      <c r="BMC13" s="20"/>
      <c r="BMD13" s="20"/>
      <c r="BME13" s="20"/>
      <c r="BMF13" s="20"/>
      <c r="BMG13" s="20"/>
      <c r="BMH13" s="20"/>
      <c r="BMI13" s="20"/>
      <c r="BMJ13" s="20"/>
      <c r="BMK13" s="20"/>
      <c r="BML13" s="20"/>
      <c r="BMM13" s="20"/>
      <c r="BMN13" s="20"/>
      <c r="BMO13" s="20"/>
      <c r="BMP13" s="20"/>
      <c r="BMQ13" s="20"/>
      <c r="BMR13" s="20"/>
      <c r="BMS13" s="20"/>
      <c r="BMT13" s="20"/>
      <c r="BMU13" s="20"/>
      <c r="BMV13" s="20"/>
      <c r="BMW13" s="20"/>
      <c r="BMX13" s="20"/>
      <c r="BMY13" s="20"/>
      <c r="BMZ13" s="20"/>
      <c r="BNA13" s="20"/>
      <c r="BNB13" s="20"/>
      <c r="BNC13" s="20"/>
      <c r="BND13" s="20"/>
      <c r="BNE13" s="20"/>
      <c r="BNF13" s="20"/>
      <c r="BNG13" s="20"/>
      <c r="BNH13" s="20"/>
      <c r="BNI13" s="20"/>
      <c r="BNJ13" s="20"/>
      <c r="BNK13" s="20"/>
      <c r="BNL13" s="20"/>
      <c r="BNM13" s="20"/>
      <c r="BNN13" s="20"/>
      <c r="BNO13" s="20"/>
      <c r="BNP13" s="20"/>
      <c r="BNQ13" s="20"/>
      <c r="BNR13" s="20"/>
      <c r="BNS13" s="20"/>
      <c r="BNT13" s="20"/>
      <c r="BNU13" s="20"/>
      <c r="BNV13" s="20"/>
      <c r="BNW13" s="20"/>
      <c r="BNX13" s="20"/>
      <c r="BNY13" s="20"/>
      <c r="BNZ13" s="20"/>
      <c r="BOA13" s="20"/>
      <c r="BOB13" s="20"/>
      <c r="BOC13" s="20"/>
      <c r="BOD13" s="20"/>
      <c r="BOE13" s="20"/>
      <c r="BOF13" s="20"/>
      <c r="BOG13" s="20"/>
      <c r="BOH13" s="20"/>
      <c r="BOI13" s="20"/>
      <c r="BOJ13" s="20"/>
      <c r="BOK13" s="20"/>
      <c r="BOL13" s="20"/>
      <c r="BOM13" s="20"/>
      <c r="BON13" s="20"/>
      <c r="BOO13" s="20"/>
      <c r="BOP13" s="20"/>
      <c r="BOQ13" s="20"/>
      <c r="BOR13" s="20"/>
      <c r="BOS13" s="20"/>
      <c r="BOT13" s="20"/>
      <c r="BOU13" s="20"/>
      <c r="BOV13" s="20"/>
      <c r="BOW13" s="20"/>
      <c r="BOX13" s="20"/>
      <c r="BOY13" s="20"/>
      <c r="BOZ13" s="20"/>
      <c r="BPA13" s="20"/>
      <c r="BPB13" s="20"/>
      <c r="BPC13" s="20"/>
      <c r="BPD13" s="20"/>
      <c r="BPE13" s="20"/>
      <c r="BPF13" s="20"/>
      <c r="BPG13" s="20"/>
      <c r="BPH13" s="20"/>
      <c r="BPI13" s="20"/>
      <c r="BPJ13" s="20"/>
      <c r="BPK13" s="20"/>
      <c r="BPL13" s="20"/>
      <c r="BPM13" s="20"/>
      <c r="BPN13" s="20"/>
      <c r="BPO13" s="20"/>
      <c r="BPP13" s="20"/>
      <c r="BPQ13" s="20"/>
      <c r="BPR13" s="20"/>
      <c r="BPS13" s="20"/>
      <c r="BPT13" s="20"/>
      <c r="BPU13" s="20"/>
      <c r="BPV13" s="20"/>
      <c r="BPW13" s="20"/>
      <c r="BPX13" s="20"/>
      <c r="BPY13" s="20"/>
      <c r="BPZ13" s="20"/>
      <c r="BQA13" s="20"/>
      <c r="BQB13" s="20"/>
      <c r="BQC13" s="20"/>
      <c r="BQD13" s="20"/>
      <c r="BQE13" s="20"/>
      <c r="BQF13" s="20"/>
      <c r="BQG13" s="20"/>
      <c r="BQH13" s="20"/>
      <c r="BQI13" s="20"/>
      <c r="BQJ13" s="20"/>
      <c r="BQK13" s="20"/>
      <c r="BQL13" s="20"/>
      <c r="BQM13" s="20"/>
      <c r="BQN13" s="20"/>
      <c r="BQO13" s="20"/>
      <c r="BQP13" s="20"/>
      <c r="BQQ13" s="20"/>
      <c r="BQR13" s="20"/>
      <c r="BQS13" s="20"/>
      <c r="BQT13" s="20"/>
      <c r="BQU13" s="20"/>
      <c r="BQV13" s="20"/>
      <c r="BQW13" s="20"/>
      <c r="BQX13" s="20"/>
      <c r="BQY13" s="20"/>
      <c r="BQZ13" s="20"/>
      <c r="BRA13" s="20"/>
      <c r="BRB13" s="20"/>
      <c r="BRC13" s="20"/>
      <c r="BRD13" s="20"/>
      <c r="BRE13" s="20"/>
      <c r="BRF13" s="20"/>
      <c r="BRG13" s="20"/>
      <c r="BRH13" s="20"/>
      <c r="BRI13" s="20"/>
      <c r="BRJ13" s="20"/>
      <c r="BRK13" s="20"/>
      <c r="BRL13" s="20"/>
      <c r="BRM13" s="20"/>
      <c r="BRN13" s="20"/>
      <c r="BRO13" s="20"/>
      <c r="BRP13" s="20"/>
      <c r="BRQ13" s="20"/>
      <c r="BRR13" s="20"/>
      <c r="BRS13" s="20"/>
      <c r="BRT13" s="20"/>
      <c r="BRU13" s="20"/>
      <c r="BRV13" s="20"/>
      <c r="BRW13" s="20"/>
      <c r="BRX13" s="20"/>
      <c r="BRY13" s="20"/>
      <c r="BRZ13" s="20"/>
      <c r="BSA13" s="20"/>
      <c r="BSB13" s="20"/>
      <c r="BSC13" s="20"/>
      <c r="BSD13" s="20"/>
      <c r="BSE13" s="20"/>
      <c r="BSF13" s="20"/>
      <c r="BSG13" s="20"/>
      <c r="BSH13" s="20"/>
      <c r="BSI13" s="20"/>
      <c r="BSJ13" s="20"/>
      <c r="BSK13" s="20"/>
      <c r="BSL13" s="20"/>
      <c r="BSM13" s="20"/>
      <c r="BSN13" s="20"/>
      <c r="BSO13" s="20"/>
      <c r="BSP13" s="20"/>
      <c r="BSQ13" s="20"/>
      <c r="BSR13" s="20"/>
      <c r="BSS13" s="20"/>
      <c r="BST13" s="20"/>
      <c r="BSU13" s="20"/>
      <c r="BSV13" s="20"/>
      <c r="BSW13" s="20"/>
      <c r="BSX13" s="20"/>
      <c r="BSY13" s="20"/>
      <c r="BSZ13" s="20"/>
      <c r="BTA13" s="20"/>
      <c r="BTB13" s="20"/>
      <c r="BTC13" s="20"/>
      <c r="BTD13" s="20"/>
      <c r="BTE13" s="20"/>
      <c r="BTF13" s="20"/>
      <c r="BTG13" s="20"/>
      <c r="BTH13" s="20"/>
      <c r="BTI13" s="20"/>
      <c r="BTJ13" s="20"/>
      <c r="BTK13" s="20"/>
      <c r="BTL13" s="20"/>
      <c r="BTM13" s="20"/>
      <c r="BTN13" s="20"/>
      <c r="BTO13" s="20"/>
      <c r="BTP13" s="20"/>
      <c r="BTQ13" s="20"/>
      <c r="BTR13" s="20"/>
      <c r="BTS13" s="20"/>
      <c r="BTT13" s="20"/>
      <c r="BTU13" s="20"/>
      <c r="BTV13" s="20"/>
      <c r="BTW13" s="20"/>
      <c r="BTX13" s="20"/>
      <c r="BTY13" s="20"/>
      <c r="BTZ13" s="20"/>
      <c r="BUA13" s="20"/>
      <c r="BUB13" s="20"/>
      <c r="BUC13" s="20"/>
      <c r="BUD13" s="20"/>
      <c r="BUE13" s="20"/>
      <c r="BUF13" s="20"/>
      <c r="BUG13" s="20"/>
      <c r="BUH13" s="20"/>
      <c r="BUI13" s="20"/>
      <c r="BUJ13" s="20"/>
      <c r="BUK13" s="20"/>
      <c r="BUL13" s="20"/>
      <c r="BUM13" s="20"/>
      <c r="BUN13" s="20"/>
      <c r="BUO13" s="20"/>
      <c r="BUP13" s="20"/>
      <c r="BUQ13" s="20"/>
      <c r="BUR13" s="20"/>
      <c r="BUS13" s="20"/>
      <c r="BUT13" s="20"/>
      <c r="BUU13" s="20"/>
      <c r="BUV13" s="20"/>
      <c r="BUW13" s="20"/>
      <c r="BUX13" s="20"/>
      <c r="BUY13" s="20"/>
      <c r="BUZ13" s="20"/>
      <c r="BVA13" s="20"/>
      <c r="BVB13" s="20"/>
      <c r="BVC13" s="20"/>
      <c r="BVD13" s="20"/>
      <c r="BVE13" s="20"/>
      <c r="BVF13" s="20"/>
      <c r="BVG13" s="20"/>
      <c r="BVH13" s="20"/>
      <c r="BVI13" s="20"/>
      <c r="BVJ13" s="20"/>
      <c r="BVK13" s="20"/>
      <c r="BVL13" s="20"/>
      <c r="BVM13" s="20"/>
      <c r="BVN13" s="20"/>
      <c r="BVO13" s="20"/>
      <c r="BVP13" s="20"/>
      <c r="BVQ13" s="20"/>
      <c r="BVR13" s="20"/>
      <c r="BVS13" s="20"/>
      <c r="BVT13" s="20"/>
      <c r="BVU13" s="20"/>
      <c r="BVV13" s="20"/>
      <c r="BVW13" s="20"/>
      <c r="BVX13" s="20"/>
      <c r="BVY13" s="20"/>
      <c r="BVZ13" s="20"/>
      <c r="BWA13" s="20"/>
      <c r="BWB13" s="20"/>
      <c r="BWC13" s="20"/>
      <c r="BWD13" s="20"/>
      <c r="BWE13" s="20"/>
      <c r="BWF13" s="20"/>
      <c r="BWG13" s="20"/>
      <c r="BWH13" s="20"/>
      <c r="BWI13" s="20"/>
      <c r="BWJ13" s="20"/>
      <c r="BWK13" s="20"/>
      <c r="BWL13" s="20"/>
      <c r="BWM13" s="20"/>
      <c r="BWN13" s="20"/>
      <c r="BWO13" s="20"/>
      <c r="BWP13" s="20"/>
      <c r="BWQ13" s="20"/>
      <c r="BWR13" s="20"/>
      <c r="BWS13" s="20"/>
      <c r="BWT13" s="20"/>
      <c r="BWU13" s="20"/>
      <c r="BWV13" s="20"/>
      <c r="BWW13" s="20"/>
      <c r="BWX13" s="20"/>
      <c r="BWY13" s="20"/>
      <c r="BWZ13" s="20"/>
      <c r="BXA13" s="20"/>
      <c r="BXB13" s="20"/>
      <c r="BXC13" s="20"/>
      <c r="BXD13" s="20"/>
      <c r="BXE13" s="20"/>
      <c r="BXF13" s="20"/>
      <c r="BXG13" s="20"/>
      <c r="BXH13" s="20"/>
      <c r="BXI13" s="20"/>
      <c r="BXJ13" s="20"/>
      <c r="BXK13" s="20"/>
      <c r="BXL13" s="20"/>
      <c r="BXM13" s="20"/>
      <c r="BXN13" s="20"/>
      <c r="BXO13" s="20"/>
      <c r="BXP13" s="20"/>
      <c r="BXQ13" s="20"/>
      <c r="BXR13" s="20"/>
      <c r="BXS13" s="20"/>
      <c r="BXT13" s="20"/>
      <c r="BXU13" s="20"/>
      <c r="BXV13" s="20"/>
      <c r="BXW13" s="20"/>
      <c r="BXX13" s="20"/>
      <c r="BXY13" s="20"/>
      <c r="BXZ13" s="20"/>
      <c r="BYA13" s="20"/>
      <c r="BYB13" s="20"/>
      <c r="BYC13" s="20"/>
      <c r="BYD13" s="20"/>
      <c r="BYE13" s="20"/>
      <c r="BYF13" s="20"/>
      <c r="BYG13" s="20"/>
      <c r="BYH13" s="20"/>
      <c r="BYI13" s="20"/>
      <c r="BYJ13" s="20"/>
      <c r="BYK13" s="20"/>
      <c r="BYL13" s="20"/>
      <c r="BYM13" s="20"/>
      <c r="BYN13" s="20"/>
      <c r="BYO13" s="20"/>
      <c r="BYP13" s="20"/>
      <c r="BYQ13" s="20"/>
      <c r="BYR13" s="20"/>
      <c r="BYS13" s="20"/>
      <c r="BYT13" s="20"/>
      <c r="BYU13" s="20"/>
      <c r="BYV13" s="20"/>
      <c r="BYW13" s="20"/>
      <c r="BYX13" s="20"/>
      <c r="BYY13" s="20"/>
      <c r="BYZ13" s="20"/>
      <c r="BZA13" s="20"/>
      <c r="BZB13" s="20"/>
      <c r="BZC13" s="20"/>
      <c r="BZD13" s="20"/>
      <c r="BZE13" s="20"/>
      <c r="BZF13" s="20"/>
      <c r="BZG13" s="20"/>
      <c r="BZH13" s="20"/>
      <c r="BZI13" s="20"/>
      <c r="BZJ13" s="20"/>
      <c r="BZK13" s="20"/>
      <c r="BZL13" s="20"/>
      <c r="BZM13" s="20"/>
      <c r="BZN13" s="20"/>
      <c r="BZO13" s="20"/>
      <c r="BZP13" s="20"/>
      <c r="BZQ13" s="20"/>
      <c r="BZR13" s="20"/>
      <c r="BZS13" s="20"/>
      <c r="BZT13" s="20"/>
      <c r="BZU13" s="20"/>
      <c r="BZV13" s="20"/>
      <c r="BZW13" s="20"/>
      <c r="BZX13" s="20"/>
      <c r="BZY13" s="20"/>
      <c r="BZZ13" s="20"/>
      <c r="CAA13" s="20"/>
      <c r="CAB13" s="20"/>
      <c r="CAC13" s="20"/>
      <c r="CAD13" s="20"/>
      <c r="CAE13" s="20"/>
      <c r="CAF13" s="20"/>
      <c r="CAG13" s="20"/>
      <c r="CAH13" s="20"/>
      <c r="CAI13" s="20"/>
      <c r="CAJ13" s="20"/>
      <c r="CAK13" s="20"/>
      <c r="CAL13" s="20"/>
      <c r="CAM13" s="20"/>
      <c r="CAN13" s="20"/>
      <c r="CAO13" s="20"/>
      <c r="CAP13" s="20"/>
      <c r="CAQ13" s="20"/>
      <c r="CAR13" s="20"/>
      <c r="CAS13" s="20"/>
      <c r="CAT13" s="20"/>
      <c r="CAU13" s="20"/>
      <c r="CAV13" s="20"/>
      <c r="CAW13" s="20"/>
      <c r="CAX13" s="20"/>
      <c r="CAY13" s="20"/>
      <c r="CAZ13" s="20"/>
      <c r="CBA13" s="20"/>
      <c r="CBB13" s="20"/>
      <c r="CBC13" s="20"/>
      <c r="CBD13" s="20"/>
      <c r="CBE13" s="20"/>
      <c r="CBF13" s="20"/>
      <c r="CBG13" s="20"/>
      <c r="CBH13" s="20"/>
      <c r="CBI13" s="20"/>
      <c r="CBJ13" s="20"/>
      <c r="CBK13" s="20"/>
      <c r="CBL13" s="20"/>
      <c r="CBM13" s="20"/>
      <c r="CBN13" s="20"/>
      <c r="CBO13" s="20"/>
      <c r="CBP13" s="20"/>
      <c r="CBQ13" s="20"/>
      <c r="CBR13" s="20"/>
      <c r="CBS13" s="20"/>
      <c r="CBT13" s="20"/>
      <c r="CBU13" s="20"/>
      <c r="CBV13" s="20"/>
      <c r="CBW13" s="20"/>
      <c r="CBX13" s="20"/>
      <c r="CBY13" s="20"/>
      <c r="CBZ13" s="20"/>
      <c r="CCA13" s="20"/>
      <c r="CCB13" s="20"/>
      <c r="CCC13" s="20"/>
      <c r="CCD13" s="20"/>
      <c r="CCE13" s="20"/>
      <c r="CCF13" s="20"/>
      <c r="CCG13" s="20"/>
      <c r="CCH13" s="20"/>
      <c r="CCI13" s="20"/>
      <c r="CCJ13" s="20"/>
      <c r="CCK13" s="20"/>
      <c r="CCL13" s="20"/>
      <c r="CCM13" s="20"/>
      <c r="CCN13" s="20"/>
      <c r="CCO13" s="20"/>
      <c r="CCP13" s="20"/>
      <c r="CCQ13" s="20"/>
      <c r="CCR13" s="20"/>
      <c r="CCS13" s="20"/>
      <c r="CCT13" s="20"/>
      <c r="CCU13" s="20"/>
      <c r="CCV13" s="20"/>
      <c r="CCW13" s="20"/>
      <c r="CCX13" s="20"/>
      <c r="CCY13" s="20"/>
      <c r="CCZ13" s="20"/>
      <c r="CDA13" s="20"/>
      <c r="CDB13" s="20"/>
      <c r="CDC13" s="20"/>
      <c r="CDD13" s="20"/>
      <c r="CDE13" s="20"/>
      <c r="CDF13" s="20"/>
      <c r="CDG13" s="20"/>
      <c r="CDH13" s="20"/>
      <c r="CDI13" s="20"/>
      <c r="CDJ13" s="20"/>
      <c r="CDK13" s="20"/>
      <c r="CDL13" s="20"/>
      <c r="CDM13" s="20"/>
      <c r="CDN13" s="20"/>
      <c r="CDO13" s="20"/>
      <c r="CDP13" s="20"/>
      <c r="CDQ13" s="20"/>
      <c r="CDR13" s="20"/>
      <c r="CDS13" s="20"/>
      <c r="CDT13" s="20"/>
      <c r="CDU13" s="20"/>
      <c r="CDV13" s="20"/>
      <c r="CDW13" s="20"/>
      <c r="CDX13" s="20"/>
      <c r="CDY13" s="20"/>
      <c r="CDZ13" s="20"/>
      <c r="CEA13" s="20"/>
      <c r="CEB13" s="20"/>
      <c r="CEC13" s="20"/>
      <c r="CED13" s="20"/>
      <c r="CEE13" s="20"/>
      <c r="CEF13" s="20"/>
      <c r="CEG13" s="20"/>
      <c r="CEH13" s="20"/>
      <c r="CEI13" s="20"/>
      <c r="CEJ13" s="20"/>
      <c r="CEK13" s="20"/>
      <c r="CEL13" s="20"/>
      <c r="CEM13" s="20"/>
      <c r="CEN13" s="20"/>
      <c r="CEO13" s="20"/>
      <c r="CEP13" s="20"/>
      <c r="CEQ13" s="20"/>
      <c r="CER13" s="20"/>
      <c r="CES13" s="20"/>
      <c r="CET13" s="20"/>
      <c r="CEU13" s="20"/>
      <c r="CEV13" s="20"/>
      <c r="CEW13" s="20"/>
      <c r="CEX13" s="20"/>
      <c r="CEY13" s="20"/>
      <c r="CEZ13" s="20"/>
      <c r="CFA13" s="20"/>
      <c r="CFB13" s="20"/>
      <c r="CFC13" s="20"/>
      <c r="CFD13" s="20"/>
      <c r="CFE13" s="20"/>
      <c r="CFF13" s="20"/>
      <c r="CFG13" s="20"/>
      <c r="CFH13" s="20"/>
      <c r="CFI13" s="20"/>
      <c r="CFJ13" s="20"/>
      <c r="CFK13" s="20"/>
      <c r="CFL13" s="20"/>
      <c r="CFM13" s="20"/>
      <c r="CFN13" s="20"/>
      <c r="CFO13" s="20"/>
      <c r="CFP13" s="20"/>
      <c r="CFQ13" s="20"/>
      <c r="CFR13" s="20"/>
      <c r="CFS13" s="20"/>
      <c r="CFT13" s="20"/>
      <c r="CFU13" s="20"/>
      <c r="CFV13" s="20"/>
      <c r="CFW13" s="20"/>
      <c r="CFX13" s="20"/>
      <c r="CFY13" s="20"/>
      <c r="CFZ13" s="20"/>
      <c r="CGA13" s="20"/>
      <c r="CGB13" s="20"/>
      <c r="CGC13" s="20"/>
      <c r="CGD13" s="20"/>
      <c r="CGE13" s="20"/>
      <c r="CGF13" s="20"/>
      <c r="CGG13" s="20"/>
      <c r="CGH13" s="20"/>
      <c r="CGI13" s="20"/>
      <c r="CGJ13" s="20"/>
      <c r="CGK13" s="20"/>
      <c r="CGL13" s="20"/>
      <c r="CGM13" s="20"/>
      <c r="CGN13" s="20"/>
      <c r="CGO13" s="20"/>
      <c r="CGP13" s="20"/>
      <c r="CGQ13" s="20"/>
      <c r="CGR13" s="20"/>
      <c r="CGS13" s="20"/>
      <c r="CGT13" s="20"/>
      <c r="CGU13" s="20"/>
      <c r="CGV13" s="20"/>
      <c r="CGW13" s="20"/>
      <c r="CGX13" s="20"/>
      <c r="CGY13" s="20"/>
      <c r="CGZ13" s="20"/>
      <c r="CHA13" s="20"/>
      <c r="CHB13" s="20"/>
      <c r="CHC13" s="20"/>
      <c r="CHD13" s="20"/>
      <c r="CHE13" s="20"/>
      <c r="CHF13" s="20"/>
      <c r="CHG13" s="20"/>
      <c r="CHH13" s="20"/>
      <c r="CHI13" s="20"/>
      <c r="CHJ13" s="20"/>
      <c r="CHK13" s="20"/>
      <c r="CHL13" s="20"/>
      <c r="CHM13" s="20"/>
      <c r="CHN13" s="20"/>
      <c r="CHO13" s="20"/>
      <c r="CHP13" s="20"/>
      <c r="CHQ13" s="20"/>
      <c r="CHR13" s="20"/>
      <c r="CHS13" s="20"/>
      <c r="CHT13" s="20"/>
      <c r="CHU13" s="20"/>
      <c r="CHV13" s="20"/>
      <c r="CHW13" s="20"/>
      <c r="CHX13" s="20"/>
      <c r="CHY13" s="20"/>
      <c r="CHZ13" s="20"/>
      <c r="CIA13" s="20"/>
      <c r="CIB13" s="20"/>
      <c r="CIC13" s="20"/>
      <c r="CID13" s="20"/>
      <c r="CIE13" s="20"/>
      <c r="CIF13" s="20"/>
      <c r="CIG13" s="20"/>
      <c r="CIH13" s="20"/>
      <c r="CII13" s="20"/>
      <c r="CIJ13" s="20"/>
      <c r="CIK13" s="20"/>
      <c r="CIL13" s="20"/>
      <c r="CIM13" s="20"/>
      <c r="CIN13" s="20"/>
      <c r="CIO13" s="20"/>
      <c r="CIP13" s="20"/>
      <c r="CIQ13" s="20"/>
      <c r="CIR13" s="20"/>
      <c r="CIS13" s="20"/>
      <c r="CIT13" s="20"/>
      <c r="CIU13" s="20"/>
      <c r="CIV13" s="20"/>
      <c r="CIW13" s="20"/>
      <c r="CIX13" s="20"/>
      <c r="CIY13" s="20"/>
      <c r="CIZ13" s="20"/>
      <c r="CJA13" s="20"/>
      <c r="CJB13" s="20"/>
      <c r="CJC13" s="20"/>
      <c r="CJD13" s="20"/>
      <c r="CJE13" s="20"/>
      <c r="CJF13" s="20"/>
      <c r="CJG13" s="20"/>
      <c r="CJH13" s="20"/>
      <c r="CJI13" s="20"/>
      <c r="CJJ13" s="20"/>
      <c r="CJK13" s="20"/>
      <c r="CJL13" s="20"/>
      <c r="CJM13" s="20"/>
      <c r="CJN13" s="20"/>
      <c r="CJO13" s="20"/>
      <c r="CJP13" s="20"/>
      <c r="CJQ13" s="20"/>
      <c r="CJR13" s="20"/>
      <c r="CJS13" s="20"/>
      <c r="CJT13" s="20"/>
      <c r="CJU13" s="20"/>
      <c r="CJV13" s="20"/>
      <c r="CJW13" s="20"/>
      <c r="CJX13" s="20"/>
      <c r="CJY13" s="20"/>
      <c r="CJZ13" s="20"/>
      <c r="CKA13" s="20"/>
      <c r="CKB13" s="20"/>
      <c r="CKC13" s="20"/>
      <c r="CKD13" s="20"/>
      <c r="CKE13" s="20"/>
      <c r="CKF13" s="20"/>
      <c r="CKG13" s="20"/>
      <c r="CKH13" s="20"/>
      <c r="CKI13" s="20"/>
      <c r="CKJ13" s="20"/>
      <c r="CKK13" s="20"/>
      <c r="CKL13" s="20"/>
      <c r="CKM13" s="20"/>
      <c r="CKN13" s="20"/>
      <c r="CKO13" s="20"/>
      <c r="CKP13" s="20"/>
      <c r="CKQ13" s="20"/>
      <c r="CKR13" s="20"/>
      <c r="CKS13" s="20"/>
      <c r="CKT13" s="20"/>
      <c r="CKU13" s="20"/>
      <c r="CKV13" s="20"/>
      <c r="CKW13" s="20"/>
      <c r="CKX13" s="20"/>
      <c r="CKY13" s="20"/>
      <c r="CKZ13" s="20"/>
      <c r="CLA13" s="20"/>
      <c r="CLB13" s="20"/>
      <c r="CLC13" s="20"/>
      <c r="CLD13" s="20"/>
      <c r="CLE13" s="20"/>
      <c r="CLF13" s="20"/>
      <c r="CLG13" s="20"/>
      <c r="CLH13" s="20"/>
      <c r="CLI13" s="20"/>
      <c r="CLJ13" s="20"/>
      <c r="CLK13" s="20"/>
      <c r="CLL13" s="20"/>
      <c r="CLM13" s="20"/>
      <c r="CLN13" s="20"/>
      <c r="CLO13" s="20"/>
      <c r="CLP13" s="20"/>
      <c r="CLQ13" s="20"/>
      <c r="CLR13" s="20"/>
      <c r="CLS13" s="20"/>
      <c r="CLT13" s="20"/>
      <c r="CLU13" s="20"/>
      <c r="CLV13" s="20"/>
      <c r="CLW13" s="20"/>
      <c r="CLX13" s="20"/>
      <c r="CLY13" s="20"/>
      <c r="CLZ13" s="20"/>
      <c r="CMA13" s="20"/>
      <c r="CMB13" s="20"/>
      <c r="CMC13" s="20"/>
      <c r="CMD13" s="20"/>
      <c r="CME13" s="20"/>
      <c r="CMF13" s="20"/>
      <c r="CMG13" s="20"/>
      <c r="CMH13" s="20"/>
      <c r="CMI13" s="20"/>
      <c r="CMJ13" s="20"/>
      <c r="CMK13" s="20"/>
      <c r="CML13" s="20"/>
      <c r="CMM13" s="20"/>
      <c r="CMN13" s="20"/>
      <c r="CMO13" s="20"/>
      <c r="CMP13" s="20"/>
      <c r="CMQ13" s="20"/>
      <c r="CMR13" s="20"/>
      <c r="CMS13" s="20"/>
      <c r="CMT13" s="20"/>
      <c r="CMU13" s="20"/>
      <c r="CMV13" s="20"/>
      <c r="CMW13" s="20"/>
      <c r="CMX13" s="20"/>
      <c r="CMY13" s="20"/>
      <c r="CMZ13" s="20"/>
      <c r="CNA13" s="20"/>
      <c r="CNB13" s="20"/>
      <c r="CNC13" s="20"/>
      <c r="CND13" s="20"/>
      <c r="CNE13" s="20"/>
      <c r="CNF13" s="20"/>
      <c r="CNG13" s="20"/>
      <c r="CNH13" s="20"/>
      <c r="CNI13" s="20"/>
      <c r="CNJ13" s="20"/>
      <c r="CNK13" s="20"/>
      <c r="CNL13" s="20"/>
      <c r="CNM13" s="20"/>
      <c r="CNN13" s="20"/>
      <c r="CNO13" s="20"/>
      <c r="CNP13" s="20"/>
      <c r="CNQ13" s="20"/>
      <c r="CNR13" s="20"/>
      <c r="CNS13" s="20"/>
      <c r="CNT13" s="20"/>
      <c r="CNU13" s="20"/>
      <c r="CNV13" s="20"/>
      <c r="CNW13" s="20"/>
      <c r="CNX13" s="20"/>
      <c r="CNY13" s="20"/>
      <c r="CNZ13" s="20"/>
      <c r="COA13" s="20"/>
      <c r="COB13" s="20"/>
      <c r="COC13" s="20"/>
      <c r="COD13" s="20"/>
      <c r="COE13" s="20"/>
      <c r="COF13" s="20"/>
      <c r="COG13" s="20"/>
      <c r="COH13" s="20"/>
      <c r="COI13" s="20"/>
      <c r="COJ13" s="20"/>
      <c r="COK13" s="20"/>
      <c r="COL13" s="20"/>
      <c r="COM13" s="20"/>
      <c r="CON13" s="20"/>
      <c r="COO13" s="20"/>
      <c r="COP13" s="20"/>
      <c r="COQ13" s="20"/>
      <c r="COR13" s="20"/>
      <c r="COS13" s="20"/>
      <c r="COT13" s="20"/>
      <c r="COU13" s="20"/>
      <c r="COV13" s="20"/>
      <c r="COW13" s="20"/>
      <c r="COX13" s="20"/>
      <c r="COY13" s="20"/>
      <c r="COZ13" s="20"/>
      <c r="CPA13" s="20"/>
      <c r="CPB13" s="20"/>
      <c r="CPC13" s="20"/>
      <c r="CPD13" s="20"/>
      <c r="CPE13" s="20"/>
      <c r="CPF13" s="20"/>
      <c r="CPG13" s="20"/>
      <c r="CPH13" s="20"/>
      <c r="CPI13" s="20"/>
      <c r="CPJ13" s="20"/>
      <c r="CPK13" s="20"/>
      <c r="CPL13" s="20"/>
      <c r="CPM13" s="20"/>
      <c r="CPN13" s="20"/>
      <c r="CPO13" s="20"/>
      <c r="CPP13" s="20"/>
      <c r="CPQ13" s="20"/>
      <c r="CPR13" s="20"/>
      <c r="CPS13" s="20"/>
      <c r="CPT13" s="20"/>
      <c r="CPU13" s="20"/>
      <c r="CPV13" s="20"/>
      <c r="CPW13" s="20"/>
      <c r="CPX13" s="20"/>
      <c r="CPY13" s="20"/>
      <c r="CPZ13" s="20"/>
      <c r="CQA13" s="20"/>
      <c r="CQB13" s="20"/>
      <c r="CQC13" s="20"/>
      <c r="CQD13" s="20"/>
      <c r="CQE13" s="20"/>
      <c r="CQF13" s="20"/>
      <c r="CQG13" s="20"/>
      <c r="CQH13" s="20"/>
      <c r="CQI13" s="20"/>
      <c r="CQJ13" s="20"/>
      <c r="CQK13" s="20"/>
      <c r="CQL13" s="20"/>
      <c r="CQM13" s="20"/>
      <c r="CQN13" s="20"/>
      <c r="CQO13" s="20"/>
      <c r="CQP13" s="20"/>
      <c r="CQQ13" s="20"/>
      <c r="CQR13" s="20"/>
      <c r="CQS13" s="20"/>
      <c r="CQT13" s="20"/>
      <c r="CQU13" s="20"/>
      <c r="CQV13" s="20"/>
      <c r="CQW13" s="20"/>
      <c r="CQX13" s="20"/>
      <c r="CQY13" s="20"/>
      <c r="CQZ13" s="20"/>
      <c r="CRA13" s="20"/>
      <c r="CRB13" s="20"/>
      <c r="CRC13" s="20"/>
      <c r="CRD13" s="20"/>
      <c r="CRE13" s="20"/>
      <c r="CRF13" s="20"/>
      <c r="CRG13" s="20"/>
      <c r="CRH13" s="20"/>
      <c r="CRI13" s="20"/>
      <c r="CRJ13" s="20"/>
      <c r="CRK13" s="20"/>
      <c r="CRL13" s="20"/>
      <c r="CRM13" s="20"/>
      <c r="CRN13" s="20"/>
      <c r="CRO13" s="20"/>
      <c r="CRP13" s="20"/>
      <c r="CRQ13" s="20"/>
      <c r="CRR13" s="20"/>
      <c r="CRS13" s="20"/>
      <c r="CRT13" s="20"/>
      <c r="CRU13" s="20"/>
      <c r="CRV13" s="20"/>
      <c r="CRW13" s="20"/>
      <c r="CRX13" s="20"/>
      <c r="CRY13" s="20"/>
      <c r="CRZ13" s="20"/>
      <c r="CSA13" s="20"/>
      <c r="CSB13" s="20"/>
      <c r="CSC13" s="20"/>
      <c r="CSD13" s="20"/>
      <c r="CSE13" s="20"/>
      <c r="CSF13" s="20"/>
      <c r="CSG13" s="20"/>
      <c r="CSH13" s="20"/>
      <c r="CSI13" s="20"/>
      <c r="CSJ13" s="20"/>
      <c r="CSK13" s="20"/>
      <c r="CSL13" s="20"/>
      <c r="CSM13" s="20"/>
      <c r="CSN13" s="20"/>
      <c r="CSO13" s="20"/>
      <c r="CSP13" s="20"/>
      <c r="CSQ13" s="20"/>
      <c r="CSR13" s="20"/>
      <c r="CSS13" s="20"/>
      <c r="CST13" s="20"/>
      <c r="CSU13" s="20"/>
      <c r="CSV13" s="20"/>
      <c r="CSW13" s="20"/>
      <c r="CSX13" s="20"/>
      <c r="CSY13" s="20"/>
      <c r="CSZ13" s="20"/>
      <c r="CTA13" s="20"/>
      <c r="CTB13" s="20"/>
      <c r="CTC13" s="20"/>
      <c r="CTD13" s="20"/>
      <c r="CTE13" s="20"/>
      <c r="CTF13" s="20"/>
      <c r="CTG13" s="20"/>
      <c r="CTH13" s="20"/>
      <c r="CTI13" s="20"/>
      <c r="CTJ13" s="20"/>
      <c r="CTK13" s="20"/>
      <c r="CTL13" s="20"/>
      <c r="CTM13" s="20"/>
      <c r="CTN13" s="20"/>
      <c r="CTO13" s="20"/>
      <c r="CTP13" s="20"/>
      <c r="CTQ13" s="20"/>
      <c r="CTR13" s="20"/>
      <c r="CTS13" s="20"/>
      <c r="CTT13" s="20"/>
      <c r="CTU13" s="20"/>
      <c r="CTV13" s="20"/>
      <c r="CTW13" s="20"/>
      <c r="CTX13" s="20"/>
      <c r="CTY13" s="20"/>
      <c r="CTZ13" s="20"/>
      <c r="CUA13" s="20"/>
      <c r="CUB13" s="20"/>
      <c r="CUC13" s="20"/>
      <c r="CUD13" s="20"/>
      <c r="CUE13" s="20"/>
      <c r="CUF13" s="20"/>
      <c r="CUG13" s="20"/>
      <c r="CUH13" s="20"/>
      <c r="CUI13" s="20"/>
      <c r="CUJ13" s="20"/>
      <c r="CUK13" s="20"/>
      <c r="CUL13" s="20"/>
      <c r="CUM13" s="20"/>
      <c r="CUN13" s="20"/>
      <c r="CUO13" s="20"/>
      <c r="CUP13" s="20"/>
      <c r="CUQ13" s="20"/>
      <c r="CUR13" s="20"/>
      <c r="CUS13" s="20"/>
      <c r="CUT13" s="20"/>
      <c r="CUU13" s="20"/>
      <c r="CUV13" s="20"/>
      <c r="CUW13" s="20"/>
      <c r="CUX13" s="20"/>
      <c r="CUY13" s="20"/>
      <c r="CUZ13" s="20"/>
      <c r="CVA13" s="20"/>
      <c r="CVB13" s="20"/>
      <c r="CVC13" s="20"/>
      <c r="CVD13" s="20"/>
      <c r="CVE13" s="20"/>
      <c r="CVF13" s="20"/>
      <c r="CVG13" s="20"/>
      <c r="CVH13" s="20"/>
      <c r="CVI13" s="20"/>
      <c r="CVJ13" s="20"/>
      <c r="CVK13" s="20"/>
      <c r="CVL13" s="20"/>
      <c r="CVM13" s="20"/>
      <c r="CVN13" s="20"/>
      <c r="CVO13" s="20"/>
      <c r="CVP13" s="20"/>
      <c r="CVQ13" s="20"/>
      <c r="CVR13" s="20"/>
      <c r="CVS13" s="20"/>
      <c r="CVT13" s="20"/>
      <c r="CVU13" s="20"/>
      <c r="CVV13" s="20"/>
      <c r="CVW13" s="20"/>
      <c r="CVX13" s="20"/>
      <c r="CVY13" s="20"/>
      <c r="CVZ13" s="20"/>
      <c r="CWA13" s="20"/>
      <c r="CWB13" s="20"/>
      <c r="CWC13" s="20"/>
      <c r="CWD13" s="20"/>
      <c r="CWE13" s="20"/>
      <c r="CWF13" s="20"/>
      <c r="CWG13" s="20"/>
      <c r="CWH13" s="20"/>
      <c r="CWI13" s="20"/>
      <c r="CWJ13" s="20"/>
      <c r="CWK13" s="20"/>
      <c r="CWL13" s="20"/>
      <c r="CWM13" s="20"/>
      <c r="CWN13" s="20"/>
      <c r="CWO13" s="20"/>
      <c r="CWP13" s="20"/>
      <c r="CWQ13" s="20"/>
      <c r="CWR13" s="20"/>
      <c r="CWS13" s="20"/>
      <c r="CWT13" s="20"/>
      <c r="CWU13" s="20"/>
      <c r="CWV13" s="20"/>
      <c r="CWW13" s="20"/>
      <c r="CWX13" s="20"/>
      <c r="CWY13" s="20"/>
      <c r="CWZ13" s="20"/>
      <c r="CXA13" s="20"/>
      <c r="CXB13" s="20"/>
      <c r="CXC13" s="20"/>
      <c r="CXD13" s="20"/>
      <c r="CXE13" s="20"/>
      <c r="CXF13" s="20"/>
      <c r="CXG13" s="20"/>
      <c r="CXH13" s="20"/>
      <c r="CXI13" s="20"/>
      <c r="CXJ13" s="20"/>
      <c r="CXK13" s="20"/>
      <c r="CXL13" s="20"/>
      <c r="CXM13" s="20"/>
      <c r="CXN13" s="20"/>
      <c r="CXO13" s="20"/>
      <c r="CXP13" s="20"/>
      <c r="CXQ13" s="20"/>
      <c r="CXR13" s="20"/>
      <c r="CXS13" s="20"/>
      <c r="CXT13" s="20"/>
      <c r="CXU13" s="20"/>
      <c r="CXV13" s="20"/>
      <c r="CXW13" s="20"/>
      <c r="CXX13" s="20"/>
      <c r="CXY13" s="20"/>
      <c r="CXZ13" s="20"/>
      <c r="CYA13" s="20"/>
      <c r="CYB13" s="20"/>
      <c r="CYC13" s="20"/>
      <c r="CYD13" s="20"/>
      <c r="CYE13" s="20"/>
      <c r="CYF13" s="20"/>
      <c r="CYG13" s="20"/>
      <c r="CYH13" s="20"/>
      <c r="CYI13" s="20"/>
      <c r="CYJ13" s="20"/>
      <c r="CYK13" s="20"/>
      <c r="CYL13" s="20"/>
      <c r="CYM13" s="20"/>
      <c r="CYN13" s="20"/>
      <c r="CYO13" s="20"/>
      <c r="CYP13" s="20"/>
      <c r="CYQ13" s="20"/>
      <c r="CYR13" s="20"/>
      <c r="CYS13" s="20"/>
      <c r="CYT13" s="20"/>
      <c r="CYU13" s="20"/>
      <c r="CYV13" s="20"/>
      <c r="CYW13" s="20"/>
      <c r="CYX13" s="20"/>
      <c r="CYY13" s="20"/>
      <c r="CYZ13" s="20"/>
      <c r="CZA13" s="20"/>
      <c r="CZB13" s="20"/>
      <c r="CZC13" s="20"/>
      <c r="CZD13" s="20"/>
      <c r="CZE13" s="20"/>
      <c r="CZF13" s="20"/>
      <c r="CZG13" s="20"/>
      <c r="CZH13" s="20"/>
      <c r="CZI13" s="20"/>
      <c r="CZJ13" s="20"/>
      <c r="CZK13" s="20"/>
      <c r="CZL13" s="20"/>
      <c r="CZM13" s="20"/>
      <c r="CZN13" s="20"/>
      <c r="CZO13" s="20"/>
      <c r="CZP13" s="20"/>
      <c r="CZQ13" s="20"/>
      <c r="CZR13" s="20"/>
      <c r="CZS13" s="20"/>
      <c r="CZT13" s="20"/>
      <c r="CZU13" s="20"/>
      <c r="CZV13" s="20"/>
      <c r="CZW13" s="20"/>
      <c r="CZX13" s="20"/>
      <c r="CZY13" s="20"/>
      <c r="CZZ13" s="20"/>
      <c r="DAA13" s="20"/>
      <c r="DAB13" s="20"/>
      <c r="DAC13" s="20"/>
      <c r="DAD13" s="20"/>
      <c r="DAE13" s="20"/>
      <c r="DAF13" s="20"/>
      <c r="DAG13" s="20"/>
      <c r="DAH13" s="20"/>
      <c r="DAI13" s="20"/>
      <c r="DAJ13" s="20"/>
      <c r="DAK13" s="20"/>
      <c r="DAL13" s="20"/>
      <c r="DAM13" s="20"/>
      <c r="DAN13" s="20"/>
      <c r="DAO13" s="20"/>
      <c r="DAP13" s="20"/>
      <c r="DAQ13" s="20"/>
      <c r="DAR13" s="20"/>
      <c r="DAS13" s="20"/>
      <c r="DAT13" s="20"/>
      <c r="DAU13" s="20"/>
      <c r="DAV13" s="20"/>
      <c r="DAW13" s="20"/>
      <c r="DAX13" s="20"/>
      <c r="DAY13" s="20"/>
      <c r="DAZ13" s="20"/>
      <c r="DBA13" s="20"/>
      <c r="DBB13" s="20"/>
      <c r="DBC13" s="20"/>
      <c r="DBD13" s="20"/>
      <c r="DBE13" s="20"/>
      <c r="DBF13" s="20"/>
      <c r="DBG13" s="20"/>
      <c r="DBH13" s="20"/>
      <c r="DBI13" s="20"/>
      <c r="DBJ13" s="20"/>
      <c r="DBK13" s="20"/>
      <c r="DBL13" s="20"/>
      <c r="DBM13" s="20"/>
      <c r="DBN13" s="20"/>
      <c r="DBO13" s="20"/>
      <c r="DBP13" s="20"/>
      <c r="DBQ13" s="20"/>
      <c r="DBR13" s="20"/>
      <c r="DBS13" s="20"/>
      <c r="DBT13" s="20"/>
      <c r="DBU13" s="20"/>
      <c r="DBV13" s="20"/>
      <c r="DBW13" s="20"/>
      <c r="DBX13" s="20"/>
      <c r="DBY13" s="20"/>
      <c r="DBZ13" s="20"/>
      <c r="DCA13" s="20"/>
      <c r="DCB13" s="20"/>
      <c r="DCC13" s="20"/>
      <c r="DCD13" s="20"/>
      <c r="DCE13" s="20"/>
      <c r="DCF13" s="20"/>
      <c r="DCG13" s="20"/>
      <c r="DCH13" s="20"/>
      <c r="DCI13" s="20"/>
      <c r="DCJ13" s="20"/>
      <c r="DCK13" s="20"/>
      <c r="DCL13" s="20"/>
      <c r="DCM13" s="20"/>
      <c r="DCN13" s="20"/>
      <c r="DCO13" s="20"/>
      <c r="DCP13" s="20"/>
      <c r="DCQ13" s="20"/>
      <c r="DCR13" s="20"/>
      <c r="DCS13" s="20"/>
      <c r="DCT13" s="20"/>
      <c r="DCU13" s="20"/>
      <c r="DCV13" s="20"/>
      <c r="DCW13" s="20"/>
      <c r="DCX13" s="20"/>
      <c r="DCY13" s="20"/>
      <c r="DCZ13" s="20"/>
      <c r="DDA13" s="20"/>
      <c r="DDB13" s="20"/>
      <c r="DDC13" s="20"/>
      <c r="DDD13" s="20"/>
      <c r="DDE13" s="20"/>
      <c r="DDF13" s="20"/>
      <c r="DDG13" s="20"/>
      <c r="DDH13" s="20"/>
      <c r="DDI13" s="20"/>
      <c r="DDJ13" s="20"/>
      <c r="DDK13" s="20"/>
      <c r="DDL13" s="20"/>
      <c r="DDM13" s="20"/>
      <c r="DDN13" s="20"/>
      <c r="DDO13" s="20"/>
      <c r="DDP13" s="20"/>
      <c r="DDQ13" s="20"/>
      <c r="DDR13" s="20"/>
      <c r="DDS13" s="20"/>
      <c r="DDT13" s="20"/>
      <c r="DDU13" s="20"/>
      <c r="DDV13" s="20"/>
      <c r="DDW13" s="20"/>
      <c r="DDX13" s="20"/>
      <c r="DDY13" s="20"/>
      <c r="DDZ13" s="20"/>
      <c r="DEA13" s="20"/>
      <c r="DEB13" s="20"/>
      <c r="DEC13" s="20"/>
      <c r="DED13" s="20"/>
      <c r="DEE13" s="20"/>
      <c r="DEF13" s="20"/>
      <c r="DEG13" s="20"/>
      <c r="DEH13" s="20"/>
      <c r="DEI13" s="20"/>
      <c r="DEJ13" s="20"/>
      <c r="DEK13" s="20"/>
      <c r="DEL13" s="20"/>
      <c r="DEM13" s="20"/>
      <c r="DEN13" s="20"/>
      <c r="DEO13" s="20"/>
      <c r="DEP13" s="20"/>
      <c r="DEQ13" s="20"/>
      <c r="DER13" s="20"/>
      <c r="DES13" s="20"/>
      <c r="DET13" s="20"/>
      <c r="DEU13" s="20"/>
      <c r="DEV13" s="20"/>
      <c r="DEW13" s="20"/>
      <c r="DEX13" s="20"/>
      <c r="DEY13" s="20"/>
      <c r="DEZ13" s="20"/>
      <c r="DFA13" s="20"/>
      <c r="DFB13" s="20"/>
      <c r="DFC13" s="20"/>
      <c r="DFD13" s="20"/>
      <c r="DFE13" s="20"/>
      <c r="DFF13" s="20"/>
      <c r="DFG13" s="20"/>
      <c r="DFH13" s="20"/>
      <c r="DFI13" s="20"/>
      <c r="DFJ13" s="20"/>
      <c r="DFK13" s="20"/>
      <c r="DFL13" s="20"/>
      <c r="DFM13" s="20"/>
      <c r="DFN13" s="20"/>
      <c r="DFO13" s="20"/>
      <c r="DFP13" s="20"/>
      <c r="DFQ13" s="20"/>
      <c r="DFR13" s="20"/>
      <c r="DFS13" s="20"/>
      <c r="DFT13" s="20"/>
      <c r="DFU13" s="20"/>
      <c r="DFV13" s="20"/>
      <c r="DFW13" s="20"/>
      <c r="DFX13" s="20"/>
      <c r="DFY13" s="20"/>
      <c r="DFZ13" s="20"/>
      <c r="DGA13" s="20"/>
      <c r="DGB13" s="20"/>
      <c r="DGC13" s="20"/>
      <c r="DGD13" s="20"/>
      <c r="DGE13" s="20"/>
      <c r="DGF13" s="20"/>
      <c r="DGG13" s="20"/>
      <c r="DGH13" s="20"/>
      <c r="DGI13" s="20"/>
      <c r="DGJ13" s="20"/>
      <c r="DGK13" s="20"/>
      <c r="DGL13" s="20"/>
      <c r="DGM13" s="20"/>
      <c r="DGN13" s="20"/>
      <c r="DGO13" s="20"/>
      <c r="DGP13" s="20"/>
      <c r="DGQ13" s="20"/>
      <c r="DGR13" s="20"/>
      <c r="DGS13" s="20"/>
      <c r="DGT13" s="20"/>
      <c r="DGU13" s="20"/>
      <c r="DGV13" s="20"/>
      <c r="DGW13" s="20"/>
      <c r="DGX13" s="20"/>
      <c r="DGY13" s="20"/>
      <c r="DGZ13" s="20"/>
      <c r="DHA13" s="20"/>
      <c r="DHB13" s="20"/>
      <c r="DHC13" s="20"/>
      <c r="DHD13" s="20"/>
      <c r="DHE13" s="20"/>
      <c r="DHF13" s="20"/>
      <c r="DHG13" s="20"/>
      <c r="DHH13" s="20"/>
      <c r="DHI13" s="20"/>
      <c r="DHJ13" s="20"/>
      <c r="DHK13" s="20"/>
      <c r="DHL13" s="20"/>
      <c r="DHM13" s="20"/>
      <c r="DHN13" s="20"/>
      <c r="DHO13" s="20"/>
      <c r="DHP13" s="20"/>
      <c r="DHQ13" s="20"/>
      <c r="DHR13" s="20"/>
      <c r="DHS13" s="20"/>
      <c r="DHT13" s="20"/>
      <c r="DHU13" s="20"/>
      <c r="DHV13" s="20"/>
    </row>
    <row r="14" spans="1:2934" s="39" customFormat="1" ht="24" customHeight="1" x14ac:dyDescent="0.35">
      <c r="A14" s="40">
        <v>10</v>
      </c>
      <c r="B14" s="111"/>
      <c r="C14" s="111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7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41">
        <f t="shared" si="2"/>
        <v>0</v>
      </c>
      <c r="AJ14" s="31">
        <v>44536</v>
      </c>
      <c r="AK14" s="19">
        <v>460</v>
      </c>
      <c r="AL14" s="95"/>
      <c r="AM14" s="22">
        <f>AI14*(AL6-10)</f>
        <v>0</v>
      </c>
      <c r="AN14" s="49">
        <f t="shared" si="1"/>
        <v>0</v>
      </c>
      <c r="AO14" s="38"/>
      <c r="AP14" s="20"/>
      <c r="AQ14" s="20"/>
      <c r="AR14" s="42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11</v>
      </c>
      <c r="B15" s="111"/>
      <c r="C15" s="111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7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41">
        <f t="shared" si="2"/>
        <v>0</v>
      </c>
      <c r="AJ15" s="31">
        <v>44537</v>
      </c>
      <c r="AK15" s="19">
        <f>295+115+235</f>
        <v>645</v>
      </c>
      <c r="AL15" s="95"/>
      <c r="AM15" s="22">
        <f>AI15*(AL6-10)</f>
        <v>0</v>
      </c>
      <c r="AN15" s="49">
        <f t="shared" si="1"/>
        <v>0</v>
      </c>
      <c r="AO15" s="38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2" customFormat="1" ht="24" customHeight="1" x14ac:dyDescent="0.35">
      <c r="A16" s="40">
        <v>12</v>
      </c>
      <c r="B16" s="110"/>
      <c r="C16" s="110"/>
      <c r="D16" s="86"/>
      <c r="E16" s="86"/>
      <c r="F16" s="86"/>
      <c r="G16" s="86"/>
      <c r="H16" s="86"/>
      <c r="I16" s="86"/>
      <c r="J16" s="86"/>
      <c r="K16" s="86"/>
      <c r="L16" s="86"/>
      <c r="M16" s="98"/>
      <c r="N16" s="87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41">
        <f t="shared" si="2"/>
        <v>0</v>
      </c>
      <c r="AJ16" s="31">
        <v>44541</v>
      </c>
      <c r="AK16" s="19"/>
      <c r="AL16" s="95"/>
      <c r="AM16" s="22">
        <f>AI16*(AL6-10)</f>
        <v>0</v>
      </c>
      <c r="AN16" s="49">
        <f t="shared" si="1"/>
        <v>0</v>
      </c>
      <c r="AO16" s="30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  <c r="CQ16" s="33"/>
      <c r="CR16" s="33"/>
      <c r="CS16" s="33"/>
      <c r="CT16" s="33"/>
      <c r="CU16" s="33"/>
      <c r="CV16" s="33"/>
      <c r="CW16" s="33"/>
      <c r="CX16" s="33"/>
      <c r="CY16" s="33"/>
      <c r="CZ16" s="33"/>
      <c r="DA16" s="33"/>
      <c r="DB16" s="33"/>
      <c r="DC16" s="33"/>
      <c r="DD16" s="33"/>
      <c r="DE16" s="33"/>
      <c r="DF16" s="33"/>
      <c r="DG16" s="33"/>
      <c r="DH16" s="33"/>
      <c r="DI16" s="33"/>
      <c r="DJ16" s="33"/>
      <c r="DK16" s="33"/>
      <c r="DL16" s="33"/>
      <c r="DM16" s="33"/>
      <c r="DN16" s="33"/>
      <c r="DO16" s="33"/>
      <c r="DP16" s="33"/>
      <c r="DQ16" s="33"/>
      <c r="DR16" s="33"/>
      <c r="DS16" s="33"/>
      <c r="DT16" s="33"/>
      <c r="DU16" s="33"/>
      <c r="DV16" s="33"/>
      <c r="DW16" s="33"/>
      <c r="DX16" s="33"/>
      <c r="DY16" s="33"/>
      <c r="DZ16" s="33"/>
      <c r="EA16" s="33"/>
      <c r="EB16" s="33"/>
      <c r="EC16" s="33"/>
      <c r="ED16" s="33"/>
      <c r="EE16" s="33"/>
      <c r="EF16" s="33"/>
      <c r="EG16" s="33"/>
      <c r="EH16" s="33"/>
      <c r="EI16" s="33"/>
      <c r="EJ16" s="33"/>
      <c r="EK16" s="33"/>
      <c r="EL16" s="33"/>
      <c r="EM16" s="33"/>
      <c r="EN16" s="33"/>
      <c r="EO16" s="33"/>
      <c r="EP16" s="33"/>
      <c r="EQ16" s="33"/>
      <c r="ER16" s="33"/>
      <c r="ES16" s="33"/>
      <c r="ET16" s="33"/>
      <c r="EU16" s="33"/>
      <c r="EV16" s="33"/>
      <c r="EW16" s="33"/>
      <c r="EX16" s="33"/>
      <c r="EY16" s="33"/>
      <c r="EZ16" s="33"/>
      <c r="FA16" s="33"/>
      <c r="FB16" s="33"/>
      <c r="FC16" s="33"/>
      <c r="FD16" s="33"/>
      <c r="FE16" s="33"/>
      <c r="FF16" s="33"/>
      <c r="FG16" s="33"/>
      <c r="FH16" s="33"/>
      <c r="FI16" s="33"/>
      <c r="FJ16" s="33"/>
      <c r="FK16" s="33"/>
      <c r="FL16" s="33"/>
      <c r="FM16" s="33"/>
      <c r="FN16" s="33"/>
      <c r="FO16" s="33"/>
      <c r="FP16" s="33"/>
      <c r="FQ16" s="33"/>
      <c r="FR16" s="33"/>
      <c r="FS16" s="33"/>
      <c r="FT16" s="33"/>
      <c r="FU16" s="33"/>
      <c r="FV16" s="33"/>
      <c r="FW16" s="33"/>
      <c r="FX16" s="33"/>
      <c r="FY16" s="33"/>
      <c r="FZ16" s="33"/>
      <c r="GA16" s="33"/>
      <c r="GB16" s="33"/>
      <c r="GC16" s="33"/>
      <c r="GD16" s="33"/>
      <c r="GE16" s="33"/>
      <c r="GF16" s="33"/>
      <c r="GG16" s="33"/>
      <c r="GH16" s="33"/>
      <c r="GI16" s="33"/>
      <c r="GJ16" s="33"/>
      <c r="GK16" s="33"/>
      <c r="GL16" s="33"/>
      <c r="GM16" s="33"/>
      <c r="GN16" s="33"/>
      <c r="GO16" s="33"/>
      <c r="GP16" s="33"/>
      <c r="GQ16" s="33"/>
      <c r="GR16" s="33"/>
      <c r="GS16" s="33"/>
      <c r="GT16" s="33"/>
      <c r="GU16" s="33"/>
      <c r="GV16" s="33"/>
      <c r="GW16" s="33"/>
      <c r="GX16" s="33"/>
      <c r="GY16" s="33"/>
      <c r="GZ16" s="33"/>
      <c r="HA16" s="33"/>
      <c r="HB16" s="33"/>
      <c r="HC16" s="33"/>
      <c r="HD16" s="33"/>
      <c r="HE16" s="33"/>
      <c r="HF16" s="33"/>
      <c r="HG16" s="33"/>
      <c r="HH16" s="33"/>
      <c r="HI16" s="33"/>
      <c r="HJ16" s="33"/>
      <c r="HK16" s="33"/>
      <c r="HL16" s="33"/>
      <c r="HM16" s="33"/>
      <c r="HN16" s="33"/>
      <c r="HO16" s="33"/>
      <c r="HP16" s="33"/>
      <c r="HQ16" s="33"/>
      <c r="HR16" s="33"/>
      <c r="HS16" s="33"/>
      <c r="HT16" s="33"/>
      <c r="HU16" s="33"/>
      <c r="HV16" s="33"/>
      <c r="HW16" s="33"/>
      <c r="HX16" s="33"/>
      <c r="HY16" s="33"/>
      <c r="HZ16" s="33"/>
      <c r="IA16" s="33"/>
      <c r="IB16" s="33"/>
      <c r="IC16" s="33"/>
      <c r="ID16" s="33"/>
      <c r="IE16" s="33"/>
      <c r="IF16" s="33"/>
      <c r="IG16" s="33"/>
      <c r="IH16" s="33"/>
      <c r="II16" s="33"/>
      <c r="IJ16" s="33"/>
      <c r="IK16" s="33"/>
      <c r="IL16" s="33"/>
      <c r="IM16" s="33"/>
      <c r="IN16" s="33"/>
      <c r="IO16" s="33"/>
      <c r="IP16" s="33"/>
      <c r="IQ16" s="33"/>
      <c r="IR16" s="33"/>
      <c r="IS16" s="33"/>
      <c r="IT16" s="33"/>
      <c r="IU16" s="33"/>
      <c r="IV16" s="33"/>
      <c r="IW16" s="33"/>
      <c r="IX16" s="33"/>
      <c r="IY16" s="33"/>
      <c r="IZ16" s="33"/>
      <c r="JA16" s="33"/>
      <c r="JB16" s="33"/>
      <c r="JC16" s="33"/>
      <c r="JD16" s="33"/>
      <c r="JE16" s="33"/>
      <c r="JF16" s="33"/>
      <c r="JG16" s="33"/>
      <c r="JH16" s="33"/>
      <c r="JI16" s="33"/>
      <c r="JJ16" s="33"/>
      <c r="JK16" s="33"/>
      <c r="JL16" s="33"/>
      <c r="JM16" s="33"/>
      <c r="JN16" s="33"/>
      <c r="JO16" s="33"/>
      <c r="JP16" s="33"/>
      <c r="JQ16" s="33"/>
      <c r="JR16" s="33"/>
      <c r="JS16" s="33"/>
      <c r="JT16" s="33"/>
      <c r="JU16" s="33"/>
      <c r="JV16" s="33"/>
      <c r="JW16" s="33"/>
      <c r="JX16" s="33"/>
      <c r="JY16" s="33"/>
      <c r="JZ16" s="33"/>
      <c r="KA16" s="33"/>
      <c r="KB16" s="33"/>
      <c r="KC16" s="33"/>
      <c r="KD16" s="33"/>
      <c r="KE16" s="33"/>
      <c r="KF16" s="33"/>
      <c r="KG16" s="33"/>
      <c r="KH16" s="33"/>
      <c r="KI16" s="33"/>
      <c r="KJ16" s="33"/>
      <c r="KK16" s="33"/>
      <c r="KL16" s="33"/>
      <c r="KM16" s="33"/>
      <c r="KN16" s="33"/>
      <c r="KO16" s="33"/>
      <c r="KP16" s="33"/>
      <c r="KQ16" s="33"/>
      <c r="KR16" s="33"/>
      <c r="KS16" s="33"/>
      <c r="KT16" s="33"/>
      <c r="KU16" s="33"/>
      <c r="KV16" s="33"/>
      <c r="KW16" s="33"/>
      <c r="KX16" s="33"/>
      <c r="KY16" s="33"/>
      <c r="KZ16" s="33"/>
      <c r="LA16" s="33"/>
      <c r="LB16" s="33"/>
      <c r="LC16" s="33"/>
      <c r="LD16" s="33"/>
      <c r="LE16" s="33"/>
      <c r="LF16" s="33"/>
      <c r="LG16" s="33"/>
      <c r="LH16" s="33"/>
      <c r="LI16" s="33"/>
      <c r="LJ16" s="33"/>
      <c r="LK16" s="33"/>
      <c r="LL16" s="33"/>
      <c r="LM16" s="33"/>
      <c r="LN16" s="33"/>
      <c r="LO16" s="33"/>
      <c r="LP16" s="33"/>
      <c r="LQ16" s="33"/>
      <c r="LR16" s="33"/>
      <c r="LS16" s="33"/>
      <c r="LT16" s="33"/>
      <c r="LU16" s="33"/>
      <c r="LV16" s="33"/>
      <c r="LW16" s="33"/>
      <c r="LX16" s="33"/>
      <c r="LY16" s="33"/>
      <c r="LZ16" s="33"/>
      <c r="MA16" s="33"/>
      <c r="MB16" s="33"/>
      <c r="MC16" s="33"/>
      <c r="MD16" s="33"/>
      <c r="ME16" s="33"/>
      <c r="MF16" s="33"/>
      <c r="MG16" s="33"/>
      <c r="MH16" s="33"/>
      <c r="MI16" s="33"/>
      <c r="MJ16" s="33"/>
      <c r="MK16" s="33"/>
      <c r="ML16" s="33"/>
      <c r="MM16" s="33"/>
      <c r="MN16" s="33"/>
      <c r="MO16" s="33"/>
      <c r="MP16" s="33"/>
      <c r="MQ16" s="33"/>
      <c r="MR16" s="33"/>
      <c r="MS16" s="33"/>
      <c r="MT16" s="33"/>
      <c r="MU16" s="33"/>
      <c r="MV16" s="33"/>
      <c r="MW16" s="33"/>
      <c r="MX16" s="33"/>
      <c r="MY16" s="33"/>
      <c r="MZ16" s="33"/>
      <c r="NA16" s="33"/>
      <c r="NB16" s="33"/>
      <c r="NC16" s="33"/>
      <c r="ND16" s="33"/>
      <c r="NE16" s="33"/>
      <c r="NF16" s="33"/>
      <c r="NG16" s="33"/>
      <c r="NH16" s="33"/>
      <c r="NI16" s="33"/>
      <c r="NJ16" s="33"/>
      <c r="NK16" s="33"/>
      <c r="NL16" s="33"/>
      <c r="NM16" s="33"/>
      <c r="NN16" s="33"/>
      <c r="NO16" s="33"/>
      <c r="NP16" s="33"/>
      <c r="NQ16" s="33"/>
      <c r="NR16" s="33"/>
      <c r="NS16" s="33"/>
      <c r="NT16" s="33"/>
      <c r="NU16" s="33"/>
      <c r="NV16" s="33"/>
      <c r="NW16" s="33"/>
      <c r="NX16" s="33"/>
      <c r="NY16" s="33"/>
      <c r="NZ16" s="33"/>
      <c r="OA16" s="33"/>
      <c r="OB16" s="33"/>
      <c r="OC16" s="33"/>
      <c r="OD16" s="33"/>
      <c r="OE16" s="33"/>
      <c r="OF16" s="33"/>
      <c r="OG16" s="33"/>
      <c r="OH16" s="33"/>
      <c r="OI16" s="33"/>
      <c r="OJ16" s="33"/>
      <c r="OK16" s="33"/>
      <c r="OL16" s="33"/>
      <c r="OM16" s="33"/>
      <c r="ON16" s="33"/>
      <c r="OO16" s="33"/>
      <c r="OP16" s="33"/>
      <c r="OQ16" s="33"/>
      <c r="OR16" s="33"/>
      <c r="OS16" s="33"/>
      <c r="OT16" s="33"/>
      <c r="OU16" s="33"/>
      <c r="OV16" s="33"/>
      <c r="OW16" s="33"/>
      <c r="OX16" s="33"/>
      <c r="OY16" s="33"/>
      <c r="OZ16" s="33"/>
      <c r="PA16" s="33"/>
      <c r="PB16" s="33"/>
      <c r="PC16" s="33"/>
      <c r="PD16" s="33"/>
      <c r="PE16" s="33"/>
      <c r="PF16" s="33"/>
      <c r="PG16" s="33"/>
      <c r="PH16" s="33"/>
      <c r="PI16" s="33"/>
      <c r="PJ16" s="33"/>
      <c r="PK16" s="33"/>
      <c r="PL16" s="33"/>
      <c r="PM16" s="33"/>
      <c r="PN16" s="33"/>
      <c r="PO16" s="33"/>
      <c r="PP16" s="33"/>
      <c r="PQ16" s="33"/>
      <c r="PR16" s="33"/>
      <c r="PS16" s="33"/>
      <c r="PT16" s="33"/>
      <c r="PU16" s="33"/>
      <c r="PV16" s="33"/>
      <c r="PW16" s="33"/>
      <c r="PX16" s="33"/>
      <c r="PY16" s="33"/>
      <c r="PZ16" s="33"/>
      <c r="QA16" s="33"/>
      <c r="QB16" s="33"/>
      <c r="QC16" s="33"/>
      <c r="QD16" s="33"/>
      <c r="QE16" s="33"/>
      <c r="QF16" s="33"/>
      <c r="QG16" s="33"/>
      <c r="QH16" s="33"/>
      <c r="QI16" s="33"/>
      <c r="QJ16" s="33"/>
      <c r="QK16" s="33"/>
      <c r="QL16" s="33"/>
      <c r="QM16" s="33"/>
      <c r="QN16" s="33"/>
      <c r="QO16" s="33"/>
      <c r="QP16" s="33"/>
      <c r="QQ16" s="33"/>
      <c r="QR16" s="33"/>
      <c r="QS16" s="33"/>
      <c r="QT16" s="33"/>
      <c r="QU16" s="33"/>
      <c r="QV16" s="33"/>
      <c r="QW16" s="33"/>
      <c r="QX16" s="33"/>
      <c r="QY16" s="33"/>
      <c r="QZ16" s="33"/>
      <c r="RA16" s="33"/>
      <c r="RB16" s="33"/>
      <c r="RC16" s="33"/>
      <c r="RD16" s="33"/>
      <c r="RE16" s="33"/>
      <c r="RF16" s="33"/>
      <c r="RG16" s="33"/>
      <c r="RH16" s="33"/>
      <c r="RI16" s="33"/>
      <c r="RJ16" s="33"/>
      <c r="RK16" s="33"/>
      <c r="RL16" s="33"/>
      <c r="RM16" s="33"/>
      <c r="RN16" s="33"/>
      <c r="RO16" s="33"/>
      <c r="RP16" s="33"/>
      <c r="RQ16" s="33"/>
      <c r="RR16" s="33"/>
      <c r="RS16" s="33"/>
      <c r="RT16" s="33"/>
      <c r="RU16" s="33"/>
      <c r="RV16" s="33"/>
      <c r="RW16" s="33"/>
      <c r="RX16" s="33"/>
      <c r="RY16" s="33"/>
      <c r="RZ16" s="33"/>
      <c r="SA16" s="33"/>
      <c r="SB16" s="33"/>
      <c r="SC16" s="33"/>
      <c r="SD16" s="33"/>
      <c r="SE16" s="33"/>
      <c r="SF16" s="33"/>
      <c r="SG16" s="33"/>
      <c r="SH16" s="33"/>
      <c r="SI16" s="33"/>
      <c r="SJ16" s="33"/>
      <c r="SK16" s="33"/>
      <c r="SL16" s="33"/>
      <c r="SM16" s="33"/>
      <c r="SN16" s="33"/>
      <c r="SO16" s="33"/>
      <c r="SP16" s="33"/>
      <c r="SQ16" s="33"/>
      <c r="SR16" s="33"/>
      <c r="SS16" s="33"/>
      <c r="ST16" s="33"/>
      <c r="SU16" s="33"/>
      <c r="SV16" s="33"/>
      <c r="SW16" s="33"/>
      <c r="SX16" s="33"/>
      <c r="SY16" s="33"/>
      <c r="SZ16" s="33"/>
      <c r="TA16" s="33"/>
      <c r="TB16" s="33"/>
      <c r="TC16" s="33"/>
      <c r="TD16" s="33"/>
      <c r="TE16" s="33"/>
      <c r="TF16" s="33"/>
      <c r="TG16" s="33"/>
      <c r="TH16" s="33"/>
      <c r="TI16" s="33"/>
      <c r="TJ16" s="33"/>
      <c r="TK16" s="33"/>
      <c r="TL16" s="33"/>
      <c r="TM16" s="33"/>
      <c r="TN16" s="33"/>
      <c r="TO16" s="33"/>
      <c r="TP16" s="33"/>
      <c r="TQ16" s="33"/>
      <c r="TR16" s="33"/>
      <c r="TS16" s="33"/>
      <c r="TT16" s="33"/>
      <c r="TU16" s="33"/>
      <c r="TV16" s="33"/>
      <c r="TW16" s="33"/>
      <c r="TX16" s="33"/>
      <c r="TY16" s="33"/>
      <c r="TZ16" s="33"/>
      <c r="UA16" s="33"/>
      <c r="UB16" s="33"/>
      <c r="UC16" s="33"/>
      <c r="UD16" s="33"/>
      <c r="UE16" s="33"/>
      <c r="UF16" s="33"/>
      <c r="UG16" s="33"/>
      <c r="UH16" s="33"/>
      <c r="UI16" s="33"/>
      <c r="UJ16" s="33"/>
      <c r="UK16" s="33"/>
      <c r="UL16" s="33"/>
      <c r="UM16" s="33"/>
      <c r="UN16" s="33"/>
      <c r="UO16" s="33"/>
      <c r="UP16" s="33"/>
      <c r="UQ16" s="33"/>
      <c r="UR16" s="33"/>
      <c r="US16" s="33"/>
      <c r="UT16" s="33"/>
      <c r="UU16" s="33"/>
      <c r="UV16" s="33"/>
      <c r="UW16" s="33"/>
      <c r="UX16" s="33"/>
      <c r="UY16" s="33"/>
      <c r="UZ16" s="33"/>
      <c r="VA16" s="33"/>
      <c r="VB16" s="33"/>
      <c r="VC16" s="33"/>
      <c r="VD16" s="33"/>
      <c r="VE16" s="33"/>
      <c r="VF16" s="33"/>
      <c r="VG16" s="33"/>
      <c r="VH16" s="33"/>
      <c r="VI16" s="33"/>
      <c r="VJ16" s="33"/>
      <c r="VK16" s="33"/>
      <c r="VL16" s="33"/>
      <c r="VM16" s="33"/>
      <c r="VN16" s="33"/>
      <c r="VO16" s="33"/>
      <c r="VP16" s="33"/>
      <c r="VQ16" s="33"/>
      <c r="VR16" s="33"/>
      <c r="VS16" s="33"/>
      <c r="VT16" s="33"/>
      <c r="VU16" s="33"/>
      <c r="VV16" s="33"/>
      <c r="VW16" s="33"/>
      <c r="VX16" s="33"/>
      <c r="VY16" s="33"/>
      <c r="VZ16" s="33"/>
      <c r="WA16" s="33"/>
      <c r="WB16" s="33"/>
      <c r="WC16" s="33"/>
      <c r="WD16" s="33"/>
      <c r="WE16" s="33"/>
      <c r="WF16" s="33"/>
      <c r="WG16" s="33"/>
      <c r="WH16" s="33"/>
      <c r="WI16" s="33"/>
      <c r="WJ16" s="33"/>
      <c r="WK16" s="33"/>
      <c r="WL16" s="33"/>
      <c r="WM16" s="33"/>
      <c r="WN16" s="33"/>
      <c r="WO16" s="33"/>
      <c r="WP16" s="33"/>
      <c r="WQ16" s="33"/>
      <c r="WR16" s="33"/>
      <c r="WS16" s="33"/>
      <c r="WT16" s="33"/>
      <c r="WU16" s="33"/>
      <c r="WV16" s="33"/>
      <c r="WW16" s="33"/>
      <c r="WX16" s="33"/>
      <c r="WY16" s="33"/>
      <c r="WZ16" s="33"/>
      <c r="XA16" s="33"/>
      <c r="XB16" s="33"/>
      <c r="XC16" s="33"/>
      <c r="XD16" s="33"/>
      <c r="XE16" s="33"/>
      <c r="XF16" s="33"/>
      <c r="XG16" s="33"/>
      <c r="XH16" s="33"/>
      <c r="XI16" s="33"/>
      <c r="XJ16" s="33"/>
      <c r="XK16" s="33"/>
      <c r="XL16" s="33"/>
      <c r="XM16" s="33"/>
      <c r="XN16" s="33"/>
      <c r="XO16" s="33"/>
      <c r="XP16" s="33"/>
      <c r="XQ16" s="33"/>
      <c r="XR16" s="33"/>
      <c r="XS16" s="33"/>
      <c r="XT16" s="33"/>
      <c r="XU16" s="33"/>
      <c r="XV16" s="33"/>
      <c r="XW16" s="33"/>
      <c r="XX16" s="33"/>
      <c r="XY16" s="33"/>
      <c r="XZ16" s="33"/>
      <c r="YA16" s="33"/>
      <c r="YB16" s="33"/>
      <c r="YC16" s="33"/>
      <c r="YD16" s="33"/>
      <c r="YE16" s="33"/>
      <c r="YF16" s="33"/>
      <c r="YG16" s="33"/>
      <c r="YH16" s="33"/>
      <c r="YI16" s="33"/>
      <c r="YJ16" s="33"/>
      <c r="YK16" s="33"/>
      <c r="YL16" s="33"/>
      <c r="YM16" s="33"/>
      <c r="YN16" s="33"/>
      <c r="YO16" s="33"/>
      <c r="YP16" s="33"/>
      <c r="YQ16" s="33"/>
      <c r="YR16" s="33"/>
      <c r="YS16" s="33"/>
      <c r="YT16" s="33"/>
      <c r="YU16" s="33"/>
      <c r="YV16" s="33"/>
      <c r="YW16" s="33"/>
      <c r="YX16" s="33"/>
      <c r="YY16" s="33"/>
      <c r="YZ16" s="33"/>
      <c r="ZA16" s="33"/>
      <c r="ZB16" s="33"/>
      <c r="ZC16" s="33"/>
      <c r="ZD16" s="33"/>
      <c r="ZE16" s="33"/>
      <c r="ZF16" s="33"/>
      <c r="ZG16" s="33"/>
      <c r="ZH16" s="33"/>
      <c r="ZI16" s="33"/>
      <c r="ZJ16" s="33"/>
      <c r="ZK16" s="33"/>
      <c r="ZL16" s="33"/>
      <c r="ZM16" s="33"/>
      <c r="ZN16" s="33"/>
      <c r="ZO16" s="33"/>
      <c r="ZP16" s="33"/>
      <c r="ZQ16" s="33"/>
      <c r="ZR16" s="33"/>
      <c r="ZS16" s="33"/>
      <c r="ZT16" s="33"/>
      <c r="ZU16" s="33"/>
      <c r="ZV16" s="33"/>
      <c r="ZW16" s="33"/>
      <c r="ZX16" s="33"/>
      <c r="ZY16" s="33"/>
      <c r="ZZ16" s="33"/>
      <c r="AAA16" s="33"/>
      <c r="AAB16" s="33"/>
      <c r="AAC16" s="33"/>
      <c r="AAD16" s="33"/>
      <c r="AAE16" s="33"/>
      <c r="AAF16" s="33"/>
      <c r="AAG16" s="33"/>
      <c r="AAH16" s="33"/>
      <c r="AAI16" s="33"/>
      <c r="AAJ16" s="33"/>
      <c r="AAK16" s="33"/>
      <c r="AAL16" s="33"/>
      <c r="AAM16" s="33"/>
      <c r="AAN16" s="33"/>
      <c r="AAO16" s="33"/>
      <c r="AAP16" s="33"/>
      <c r="AAQ16" s="33"/>
      <c r="AAR16" s="33"/>
      <c r="AAS16" s="33"/>
      <c r="AAT16" s="33"/>
      <c r="AAU16" s="33"/>
      <c r="AAV16" s="33"/>
      <c r="AAW16" s="33"/>
      <c r="AAX16" s="33"/>
      <c r="AAY16" s="33"/>
      <c r="AAZ16" s="33"/>
      <c r="ABA16" s="33"/>
      <c r="ABB16" s="33"/>
      <c r="ABC16" s="33"/>
      <c r="ABD16" s="33"/>
      <c r="ABE16" s="33"/>
      <c r="ABF16" s="33"/>
      <c r="ABG16" s="33"/>
      <c r="ABH16" s="33"/>
      <c r="ABI16" s="33"/>
      <c r="ABJ16" s="33"/>
      <c r="ABK16" s="33"/>
      <c r="ABL16" s="33"/>
      <c r="ABM16" s="33"/>
      <c r="ABN16" s="33"/>
      <c r="ABO16" s="33"/>
      <c r="ABP16" s="33"/>
      <c r="ABQ16" s="33"/>
      <c r="ABR16" s="33"/>
      <c r="ABS16" s="33"/>
      <c r="ABT16" s="33"/>
      <c r="ABU16" s="33"/>
      <c r="ABV16" s="33"/>
      <c r="ABW16" s="33"/>
      <c r="ABX16" s="33"/>
      <c r="ABY16" s="33"/>
      <c r="ABZ16" s="33"/>
      <c r="ACA16" s="33"/>
      <c r="ACB16" s="33"/>
      <c r="ACC16" s="33"/>
      <c r="ACD16" s="33"/>
      <c r="ACE16" s="33"/>
      <c r="ACF16" s="33"/>
      <c r="ACG16" s="33"/>
      <c r="ACH16" s="33"/>
      <c r="ACI16" s="33"/>
      <c r="ACJ16" s="33"/>
      <c r="ACK16" s="33"/>
      <c r="ACL16" s="33"/>
      <c r="ACM16" s="33"/>
      <c r="ACN16" s="33"/>
      <c r="ACO16" s="33"/>
      <c r="ACP16" s="33"/>
      <c r="ACQ16" s="33"/>
      <c r="ACR16" s="33"/>
      <c r="ACS16" s="33"/>
      <c r="ACT16" s="33"/>
      <c r="ACU16" s="33"/>
      <c r="ACV16" s="33"/>
      <c r="ACW16" s="33"/>
      <c r="ACX16" s="33"/>
      <c r="ACY16" s="33"/>
      <c r="ACZ16" s="33"/>
      <c r="ADA16" s="33"/>
      <c r="ADB16" s="33"/>
      <c r="ADC16" s="33"/>
      <c r="ADD16" s="33"/>
      <c r="ADE16" s="33"/>
      <c r="ADF16" s="33"/>
      <c r="ADG16" s="33"/>
      <c r="ADH16" s="33"/>
      <c r="ADI16" s="33"/>
      <c r="ADJ16" s="33"/>
      <c r="ADK16" s="33"/>
      <c r="ADL16" s="33"/>
      <c r="ADM16" s="33"/>
      <c r="ADN16" s="33"/>
      <c r="ADO16" s="33"/>
      <c r="ADP16" s="33"/>
      <c r="ADQ16" s="33"/>
      <c r="ADR16" s="33"/>
      <c r="ADS16" s="33"/>
      <c r="ADT16" s="33"/>
      <c r="ADU16" s="33"/>
      <c r="ADV16" s="33"/>
      <c r="ADW16" s="33"/>
      <c r="ADX16" s="33"/>
      <c r="ADY16" s="33"/>
      <c r="ADZ16" s="33"/>
      <c r="AEA16" s="33"/>
      <c r="AEB16" s="33"/>
      <c r="AEC16" s="33"/>
      <c r="AED16" s="33"/>
      <c r="AEE16" s="33"/>
      <c r="AEF16" s="33"/>
      <c r="AEG16" s="33"/>
      <c r="AEH16" s="33"/>
      <c r="AEI16" s="33"/>
      <c r="AEJ16" s="33"/>
      <c r="AEK16" s="33"/>
      <c r="AEL16" s="33"/>
      <c r="AEM16" s="33"/>
      <c r="AEN16" s="33"/>
      <c r="AEO16" s="33"/>
      <c r="AEP16" s="33"/>
      <c r="AEQ16" s="33"/>
      <c r="AER16" s="33"/>
      <c r="AES16" s="33"/>
      <c r="AET16" s="33"/>
      <c r="AEU16" s="33"/>
      <c r="AEV16" s="33"/>
      <c r="AEW16" s="33"/>
      <c r="AEX16" s="33"/>
      <c r="AEY16" s="33"/>
      <c r="AEZ16" s="33"/>
      <c r="AFA16" s="33"/>
      <c r="AFB16" s="33"/>
      <c r="AFC16" s="33"/>
      <c r="AFD16" s="33"/>
      <c r="AFE16" s="33"/>
      <c r="AFF16" s="33"/>
      <c r="AFG16" s="33"/>
      <c r="AFH16" s="33"/>
      <c r="AFI16" s="33"/>
      <c r="AFJ16" s="33"/>
      <c r="AFK16" s="33"/>
      <c r="AFL16" s="33"/>
      <c r="AFM16" s="33"/>
      <c r="AFN16" s="33"/>
      <c r="AFO16" s="33"/>
      <c r="AFP16" s="33"/>
      <c r="AFQ16" s="33"/>
      <c r="AFR16" s="33"/>
      <c r="AFS16" s="33"/>
      <c r="AFT16" s="33"/>
      <c r="AFU16" s="33"/>
      <c r="AFV16" s="33"/>
      <c r="AFW16" s="33"/>
      <c r="AFX16" s="33"/>
      <c r="AFY16" s="33"/>
      <c r="AFZ16" s="33"/>
      <c r="AGA16" s="33"/>
      <c r="AGB16" s="33"/>
      <c r="AGC16" s="33"/>
      <c r="AGD16" s="33"/>
      <c r="AGE16" s="33"/>
      <c r="AGF16" s="33"/>
      <c r="AGG16" s="33"/>
      <c r="AGH16" s="33"/>
      <c r="AGI16" s="33"/>
      <c r="AGJ16" s="33"/>
      <c r="AGK16" s="33"/>
      <c r="AGL16" s="33"/>
      <c r="AGM16" s="33"/>
      <c r="AGN16" s="33"/>
      <c r="AGO16" s="33"/>
      <c r="AGP16" s="33"/>
      <c r="AGQ16" s="33"/>
      <c r="AGR16" s="33"/>
      <c r="AGS16" s="33"/>
      <c r="AGT16" s="33"/>
      <c r="AGU16" s="33"/>
      <c r="AGV16" s="33"/>
      <c r="AGW16" s="33"/>
      <c r="AGX16" s="33"/>
      <c r="AGY16" s="33"/>
      <c r="AGZ16" s="33"/>
      <c r="AHA16" s="33"/>
      <c r="AHB16" s="33"/>
      <c r="AHC16" s="33"/>
      <c r="AHD16" s="33"/>
      <c r="AHE16" s="33"/>
      <c r="AHF16" s="33"/>
      <c r="AHG16" s="33"/>
      <c r="AHH16" s="33"/>
      <c r="AHI16" s="33"/>
      <c r="AHJ16" s="33"/>
      <c r="AHK16" s="33"/>
      <c r="AHL16" s="33"/>
      <c r="AHM16" s="33"/>
      <c r="AHN16" s="33"/>
      <c r="AHO16" s="33"/>
      <c r="AHP16" s="33"/>
      <c r="AHQ16" s="33"/>
      <c r="AHR16" s="33"/>
      <c r="AHS16" s="33"/>
      <c r="AHT16" s="33"/>
      <c r="AHU16" s="33"/>
      <c r="AHV16" s="33"/>
      <c r="AHW16" s="33"/>
      <c r="AHX16" s="33"/>
      <c r="AHY16" s="33"/>
      <c r="AHZ16" s="33"/>
      <c r="AIA16" s="33"/>
      <c r="AIB16" s="33"/>
      <c r="AIC16" s="33"/>
      <c r="AID16" s="33"/>
      <c r="AIE16" s="33"/>
      <c r="AIF16" s="33"/>
      <c r="AIG16" s="33"/>
      <c r="AIH16" s="33"/>
      <c r="AII16" s="33"/>
      <c r="AIJ16" s="33"/>
      <c r="AIK16" s="33"/>
      <c r="AIL16" s="33"/>
      <c r="AIM16" s="33"/>
      <c r="AIN16" s="33"/>
      <c r="AIO16" s="33"/>
      <c r="AIP16" s="33"/>
      <c r="AIQ16" s="33"/>
      <c r="AIR16" s="33"/>
      <c r="AIS16" s="33"/>
      <c r="AIT16" s="33"/>
      <c r="AIU16" s="33"/>
      <c r="AIV16" s="33"/>
      <c r="AIW16" s="33"/>
      <c r="AIX16" s="33"/>
      <c r="AIY16" s="33"/>
      <c r="AIZ16" s="33"/>
      <c r="AJA16" s="33"/>
      <c r="AJB16" s="33"/>
      <c r="AJC16" s="33"/>
      <c r="AJD16" s="33"/>
      <c r="AJE16" s="33"/>
      <c r="AJF16" s="33"/>
      <c r="AJG16" s="33"/>
      <c r="AJH16" s="33"/>
      <c r="AJI16" s="33"/>
      <c r="AJJ16" s="33"/>
      <c r="AJK16" s="33"/>
      <c r="AJL16" s="33"/>
      <c r="AJM16" s="33"/>
      <c r="AJN16" s="33"/>
      <c r="AJO16" s="33"/>
      <c r="AJP16" s="33"/>
      <c r="AJQ16" s="33"/>
      <c r="AJR16" s="33"/>
      <c r="AJS16" s="33"/>
      <c r="AJT16" s="33"/>
      <c r="AJU16" s="33"/>
      <c r="AJV16" s="33"/>
      <c r="AJW16" s="33"/>
      <c r="AJX16" s="33"/>
      <c r="AJY16" s="33"/>
      <c r="AJZ16" s="33"/>
      <c r="AKA16" s="33"/>
      <c r="AKB16" s="33"/>
      <c r="AKC16" s="33"/>
      <c r="AKD16" s="33"/>
      <c r="AKE16" s="33"/>
      <c r="AKF16" s="33"/>
      <c r="AKG16" s="33"/>
      <c r="AKH16" s="33"/>
      <c r="AKI16" s="33"/>
      <c r="AKJ16" s="33"/>
      <c r="AKK16" s="33"/>
      <c r="AKL16" s="33"/>
      <c r="AKM16" s="33"/>
      <c r="AKN16" s="33"/>
      <c r="AKO16" s="33"/>
      <c r="AKP16" s="33"/>
      <c r="AKQ16" s="33"/>
      <c r="AKR16" s="33"/>
      <c r="AKS16" s="33"/>
      <c r="AKT16" s="33"/>
      <c r="AKU16" s="33"/>
      <c r="AKV16" s="33"/>
      <c r="AKW16" s="33"/>
      <c r="AKX16" s="33"/>
      <c r="AKY16" s="33"/>
      <c r="AKZ16" s="33"/>
      <c r="ALA16" s="33"/>
      <c r="ALB16" s="33"/>
      <c r="ALC16" s="33"/>
      <c r="ALD16" s="33"/>
      <c r="ALE16" s="33"/>
      <c r="ALF16" s="33"/>
      <c r="ALG16" s="33"/>
      <c r="ALH16" s="33"/>
      <c r="ALI16" s="33"/>
      <c r="ALJ16" s="33"/>
      <c r="ALK16" s="33"/>
      <c r="ALL16" s="33"/>
      <c r="ALM16" s="33"/>
      <c r="ALN16" s="33"/>
      <c r="ALO16" s="33"/>
      <c r="ALP16" s="33"/>
      <c r="ALQ16" s="33"/>
      <c r="ALR16" s="33"/>
      <c r="ALS16" s="33"/>
      <c r="ALT16" s="33"/>
      <c r="ALU16" s="33"/>
      <c r="ALV16" s="33"/>
      <c r="ALW16" s="33"/>
      <c r="ALX16" s="33"/>
      <c r="ALY16" s="33"/>
      <c r="ALZ16" s="33"/>
      <c r="AMA16" s="33"/>
      <c r="AMB16" s="33"/>
      <c r="AMC16" s="33"/>
      <c r="AMD16" s="33"/>
      <c r="AME16" s="33"/>
      <c r="AMF16" s="33"/>
      <c r="AMG16" s="33"/>
      <c r="AMH16" s="33"/>
      <c r="AMI16" s="33"/>
      <c r="AMJ16" s="33"/>
      <c r="AMK16" s="33"/>
      <c r="AML16" s="33"/>
      <c r="AMM16" s="33"/>
      <c r="AMN16" s="33"/>
      <c r="AMO16" s="33"/>
      <c r="AMP16" s="33"/>
      <c r="AMQ16" s="33"/>
      <c r="AMR16" s="33"/>
      <c r="AMS16" s="33"/>
      <c r="AMT16" s="33"/>
      <c r="AMU16" s="33"/>
      <c r="AMV16" s="33"/>
      <c r="AMW16" s="33"/>
      <c r="AMX16" s="33"/>
      <c r="AMY16" s="33"/>
      <c r="AMZ16" s="33"/>
      <c r="ANA16" s="33"/>
      <c r="ANB16" s="33"/>
      <c r="ANC16" s="33"/>
      <c r="AND16" s="33"/>
      <c r="ANE16" s="33"/>
      <c r="ANF16" s="33"/>
      <c r="ANG16" s="33"/>
      <c r="ANH16" s="33"/>
      <c r="ANI16" s="33"/>
      <c r="ANJ16" s="33"/>
      <c r="ANK16" s="33"/>
      <c r="ANL16" s="33"/>
      <c r="ANM16" s="33"/>
      <c r="ANN16" s="33"/>
      <c r="ANO16" s="33"/>
      <c r="ANP16" s="33"/>
      <c r="ANQ16" s="33"/>
      <c r="ANR16" s="33"/>
      <c r="ANS16" s="33"/>
      <c r="ANT16" s="33"/>
      <c r="ANU16" s="33"/>
      <c r="ANV16" s="33"/>
      <c r="ANW16" s="33"/>
      <c r="ANX16" s="33"/>
      <c r="ANY16" s="33"/>
      <c r="ANZ16" s="33"/>
      <c r="AOA16" s="33"/>
      <c r="AOB16" s="33"/>
      <c r="AOC16" s="33"/>
      <c r="AOD16" s="33"/>
      <c r="AOE16" s="33"/>
      <c r="AOF16" s="33"/>
      <c r="AOG16" s="33"/>
      <c r="AOH16" s="33"/>
      <c r="AOI16" s="33"/>
      <c r="AOJ16" s="33"/>
      <c r="AOK16" s="33"/>
      <c r="AOL16" s="33"/>
      <c r="AOM16" s="33"/>
      <c r="AON16" s="33"/>
      <c r="AOO16" s="33"/>
      <c r="AOP16" s="33"/>
      <c r="AOQ16" s="33"/>
      <c r="AOR16" s="33"/>
      <c r="AOS16" s="33"/>
      <c r="AOT16" s="33"/>
      <c r="AOU16" s="33"/>
      <c r="AOV16" s="33"/>
      <c r="AOW16" s="33"/>
      <c r="AOX16" s="33"/>
      <c r="AOY16" s="33"/>
      <c r="AOZ16" s="33"/>
      <c r="APA16" s="33"/>
      <c r="APB16" s="33"/>
      <c r="APC16" s="33"/>
      <c r="APD16" s="33"/>
      <c r="APE16" s="33"/>
      <c r="APF16" s="33"/>
      <c r="APG16" s="33"/>
      <c r="APH16" s="33"/>
      <c r="API16" s="33"/>
      <c r="APJ16" s="33"/>
      <c r="APK16" s="33"/>
      <c r="APL16" s="33"/>
      <c r="APM16" s="33"/>
      <c r="APN16" s="33"/>
      <c r="APO16" s="33"/>
      <c r="APP16" s="33"/>
      <c r="APQ16" s="33"/>
      <c r="APR16" s="33"/>
      <c r="APS16" s="33"/>
      <c r="APT16" s="33"/>
      <c r="APU16" s="33"/>
      <c r="APV16" s="33"/>
      <c r="APW16" s="33"/>
      <c r="APX16" s="33"/>
      <c r="APY16" s="33"/>
      <c r="APZ16" s="33"/>
      <c r="AQA16" s="33"/>
      <c r="AQB16" s="33"/>
      <c r="AQC16" s="33"/>
      <c r="AQD16" s="33"/>
      <c r="AQE16" s="33"/>
      <c r="AQF16" s="33"/>
      <c r="AQG16" s="33"/>
      <c r="AQH16" s="33"/>
      <c r="AQI16" s="33"/>
      <c r="AQJ16" s="33"/>
      <c r="AQK16" s="33"/>
      <c r="AQL16" s="33"/>
      <c r="AQM16" s="33"/>
      <c r="AQN16" s="33"/>
      <c r="AQO16" s="33"/>
      <c r="AQP16" s="33"/>
      <c r="AQQ16" s="33"/>
      <c r="AQR16" s="33"/>
      <c r="AQS16" s="33"/>
      <c r="AQT16" s="33"/>
      <c r="AQU16" s="33"/>
      <c r="AQV16" s="33"/>
      <c r="AQW16" s="33"/>
      <c r="AQX16" s="33"/>
      <c r="AQY16" s="33"/>
      <c r="AQZ16" s="33"/>
      <c r="ARA16" s="33"/>
      <c r="ARB16" s="33"/>
      <c r="ARC16" s="33"/>
      <c r="ARD16" s="33"/>
      <c r="ARE16" s="33"/>
      <c r="ARF16" s="33"/>
      <c r="ARG16" s="33"/>
      <c r="ARH16" s="33"/>
      <c r="ARI16" s="33"/>
      <c r="ARJ16" s="33"/>
      <c r="ARK16" s="33"/>
      <c r="ARL16" s="33"/>
      <c r="ARM16" s="33"/>
      <c r="ARN16" s="33"/>
      <c r="ARO16" s="33"/>
      <c r="ARP16" s="33"/>
      <c r="ARQ16" s="33"/>
      <c r="ARR16" s="33"/>
      <c r="ARS16" s="33"/>
      <c r="ART16" s="33"/>
      <c r="ARU16" s="33"/>
      <c r="ARV16" s="33"/>
      <c r="ARW16" s="33"/>
      <c r="ARX16" s="33"/>
      <c r="ARY16" s="33"/>
      <c r="ARZ16" s="33"/>
      <c r="ASA16" s="33"/>
      <c r="ASB16" s="33"/>
      <c r="ASC16" s="33"/>
      <c r="ASD16" s="33"/>
      <c r="ASE16" s="33"/>
      <c r="ASF16" s="33"/>
      <c r="ASG16" s="33"/>
      <c r="ASH16" s="33"/>
      <c r="ASI16" s="33"/>
      <c r="ASJ16" s="33"/>
      <c r="ASK16" s="33"/>
      <c r="ASL16" s="33"/>
      <c r="ASM16" s="33"/>
      <c r="ASN16" s="33"/>
      <c r="ASO16" s="33"/>
      <c r="ASP16" s="33"/>
      <c r="ASQ16" s="33"/>
      <c r="ASR16" s="33"/>
      <c r="ASS16" s="33"/>
      <c r="AST16" s="33"/>
      <c r="ASU16" s="33"/>
      <c r="ASV16" s="33"/>
      <c r="ASW16" s="33"/>
      <c r="ASX16" s="33"/>
      <c r="ASY16" s="33"/>
      <c r="ASZ16" s="33"/>
      <c r="ATA16" s="33"/>
      <c r="ATB16" s="33"/>
      <c r="ATC16" s="33"/>
      <c r="ATD16" s="33"/>
      <c r="ATE16" s="33"/>
      <c r="ATF16" s="33"/>
      <c r="ATG16" s="33"/>
      <c r="ATH16" s="33"/>
      <c r="ATI16" s="33"/>
      <c r="ATJ16" s="33"/>
      <c r="ATK16" s="33"/>
      <c r="ATL16" s="33"/>
      <c r="ATM16" s="33"/>
      <c r="ATN16" s="33"/>
      <c r="ATO16" s="33"/>
      <c r="ATP16" s="33"/>
      <c r="ATQ16" s="33"/>
      <c r="ATR16" s="33"/>
      <c r="ATS16" s="33"/>
      <c r="ATT16" s="33"/>
      <c r="ATU16" s="33"/>
      <c r="ATV16" s="33"/>
      <c r="ATW16" s="33"/>
      <c r="ATX16" s="33"/>
      <c r="ATY16" s="33"/>
      <c r="ATZ16" s="33"/>
      <c r="AUA16" s="33"/>
      <c r="AUB16" s="33"/>
      <c r="AUC16" s="33"/>
      <c r="AUD16" s="33"/>
      <c r="AUE16" s="33"/>
      <c r="AUF16" s="33"/>
      <c r="AUG16" s="33"/>
      <c r="AUH16" s="33"/>
      <c r="AUI16" s="33"/>
      <c r="AUJ16" s="33"/>
      <c r="AUK16" s="33"/>
      <c r="AUL16" s="33"/>
      <c r="AUM16" s="33"/>
      <c r="AUN16" s="33"/>
      <c r="AUO16" s="33"/>
      <c r="AUP16" s="33"/>
      <c r="AUQ16" s="33"/>
      <c r="AUR16" s="33"/>
      <c r="AUS16" s="33"/>
      <c r="AUT16" s="33"/>
      <c r="AUU16" s="33"/>
      <c r="AUV16" s="33"/>
      <c r="AUW16" s="33"/>
      <c r="AUX16" s="33"/>
      <c r="AUY16" s="33"/>
      <c r="AUZ16" s="33"/>
      <c r="AVA16" s="33"/>
      <c r="AVB16" s="33"/>
      <c r="AVC16" s="33"/>
      <c r="AVD16" s="33"/>
      <c r="AVE16" s="33"/>
      <c r="AVF16" s="33"/>
      <c r="AVG16" s="33"/>
      <c r="AVH16" s="33"/>
      <c r="AVI16" s="33"/>
      <c r="AVJ16" s="33"/>
      <c r="AVK16" s="33"/>
      <c r="AVL16" s="33"/>
      <c r="AVM16" s="33"/>
      <c r="AVN16" s="33"/>
      <c r="AVO16" s="33"/>
      <c r="AVP16" s="33"/>
      <c r="AVQ16" s="33"/>
      <c r="AVR16" s="33"/>
      <c r="AVS16" s="33"/>
      <c r="AVT16" s="33"/>
      <c r="AVU16" s="33"/>
      <c r="AVV16" s="33"/>
      <c r="AVW16" s="33"/>
      <c r="AVX16" s="33"/>
      <c r="AVY16" s="33"/>
      <c r="AVZ16" s="33"/>
      <c r="AWA16" s="33"/>
      <c r="AWB16" s="33"/>
      <c r="AWC16" s="33"/>
      <c r="AWD16" s="33"/>
      <c r="AWE16" s="33"/>
      <c r="AWF16" s="33"/>
      <c r="AWG16" s="33"/>
      <c r="AWH16" s="33"/>
      <c r="AWI16" s="33"/>
      <c r="AWJ16" s="33"/>
      <c r="AWK16" s="33"/>
      <c r="AWL16" s="33"/>
      <c r="AWM16" s="33"/>
      <c r="AWN16" s="33"/>
      <c r="AWO16" s="33"/>
      <c r="AWP16" s="33"/>
      <c r="AWQ16" s="33"/>
      <c r="AWR16" s="33"/>
      <c r="AWS16" s="33"/>
      <c r="AWT16" s="33"/>
      <c r="AWU16" s="33"/>
      <c r="AWV16" s="33"/>
      <c r="AWW16" s="33"/>
      <c r="AWX16" s="33"/>
      <c r="AWY16" s="33"/>
      <c r="AWZ16" s="33"/>
      <c r="AXA16" s="33"/>
      <c r="AXB16" s="33"/>
      <c r="AXC16" s="33"/>
      <c r="AXD16" s="33"/>
      <c r="AXE16" s="33"/>
      <c r="AXF16" s="33"/>
      <c r="AXG16" s="33"/>
      <c r="AXH16" s="33"/>
      <c r="AXI16" s="33"/>
      <c r="AXJ16" s="33"/>
      <c r="AXK16" s="33"/>
      <c r="AXL16" s="33"/>
      <c r="AXM16" s="33"/>
      <c r="AXN16" s="33"/>
      <c r="AXO16" s="33"/>
      <c r="AXP16" s="33"/>
      <c r="AXQ16" s="33"/>
      <c r="AXR16" s="33"/>
      <c r="AXS16" s="33"/>
      <c r="AXT16" s="33"/>
      <c r="AXU16" s="33"/>
      <c r="AXV16" s="33"/>
      <c r="AXW16" s="33"/>
      <c r="AXX16" s="33"/>
      <c r="AXY16" s="33"/>
      <c r="AXZ16" s="33"/>
      <c r="AYA16" s="33"/>
      <c r="AYB16" s="33"/>
      <c r="AYC16" s="33"/>
      <c r="AYD16" s="33"/>
      <c r="AYE16" s="33"/>
      <c r="AYF16" s="33"/>
      <c r="AYG16" s="33"/>
      <c r="AYH16" s="33"/>
      <c r="AYI16" s="33"/>
      <c r="AYJ16" s="33"/>
      <c r="AYK16" s="33"/>
      <c r="AYL16" s="33"/>
      <c r="AYM16" s="33"/>
      <c r="AYN16" s="33"/>
      <c r="AYO16" s="33"/>
      <c r="AYP16" s="33"/>
      <c r="AYQ16" s="33"/>
      <c r="AYR16" s="33"/>
      <c r="AYS16" s="33"/>
      <c r="AYT16" s="33"/>
      <c r="AYU16" s="33"/>
      <c r="AYV16" s="33"/>
      <c r="AYW16" s="33"/>
      <c r="AYX16" s="33"/>
      <c r="AYY16" s="33"/>
      <c r="AYZ16" s="33"/>
      <c r="AZA16" s="33"/>
      <c r="AZB16" s="33"/>
      <c r="AZC16" s="33"/>
      <c r="AZD16" s="33"/>
      <c r="AZE16" s="33"/>
      <c r="AZF16" s="33"/>
      <c r="AZG16" s="33"/>
      <c r="AZH16" s="33"/>
      <c r="AZI16" s="33"/>
      <c r="AZJ16" s="33"/>
      <c r="AZK16" s="33"/>
      <c r="AZL16" s="33"/>
      <c r="AZM16" s="33"/>
      <c r="AZN16" s="33"/>
      <c r="AZO16" s="33"/>
      <c r="AZP16" s="33"/>
      <c r="AZQ16" s="33"/>
      <c r="AZR16" s="33"/>
      <c r="AZS16" s="33"/>
      <c r="AZT16" s="33"/>
      <c r="AZU16" s="33"/>
      <c r="AZV16" s="33"/>
      <c r="AZW16" s="33"/>
      <c r="AZX16" s="33"/>
      <c r="AZY16" s="33"/>
      <c r="AZZ16" s="33"/>
      <c r="BAA16" s="33"/>
      <c r="BAB16" s="33"/>
      <c r="BAC16" s="33"/>
      <c r="BAD16" s="33"/>
      <c r="BAE16" s="33"/>
      <c r="BAF16" s="33"/>
      <c r="BAG16" s="33"/>
      <c r="BAH16" s="33"/>
      <c r="BAI16" s="33"/>
      <c r="BAJ16" s="33"/>
      <c r="BAK16" s="33"/>
      <c r="BAL16" s="33"/>
      <c r="BAM16" s="33"/>
      <c r="BAN16" s="33"/>
      <c r="BAO16" s="33"/>
      <c r="BAP16" s="33"/>
      <c r="BAQ16" s="33"/>
      <c r="BAR16" s="33"/>
      <c r="BAS16" s="33"/>
      <c r="BAT16" s="33"/>
      <c r="BAU16" s="33"/>
      <c r="BAV16" s="33"/>
      <c r="BAW16" s="33"/>
      <c r="BAX16" s="33"/>
      <c r="BAY16" s="33"/>
      <c r="BAZ16" s="33"/>
      <c r="BBA16" s="33"/>
      <c r="BBB16" s="33"/>
      <c r="BBC16" s="33"/>
      <c r="BBD16" s="33"/>
      <c r="BBE16" s="33"/>
      <c r="BBF16" s="33"/>
      <c r="BBG16" s="33"/>
      <c r="BBH16" s="33"/>
      <c r="BBI16" s="33"/>
      <c r="BBJ16" s="33"/>
      <c r="BBK16" s="33"/>
      <c r="BBL16" s="33"/>
      <c r="BBM16" s="33"/>
      <c r="BBN16" s="33"/>
      <c r="BBO16" s="33"/>
      <c r="BBP16" s="33"/>
      <c r="BBQ16" s="33"/>
      <c r="BBR16" s="33"/>
      <c r="BBS16" s="33"/>
      <c r="BBT16" s="33"/>
      <c r="BBU16" s="33"/>
      <c r="BBV16" s="33"/>
      <c r="BBW16" s="33"/>
      <c r="BBX16" s="33"/>
      <c r="BBY16" s="33"/>
      <c r="BBZ16" s="33"/>
      <c r="BCA16" s="33"/>
      <c r="BCB16" s="33"/>
      <c r="BCC16" s="33"/>
      <c r="BCD16" s="33"/>
      <c r="BCE16" s="33"/>
      <c r="BCF16" s="33"/>
      <c r="BCG16" s="33"/>
      <c r="BCH16" s="33"/>
      <c r="BCI16" s="33"/>
      <c r="BCJ16" s="33"/>
      <c r="BCK16" s="33"/>
      <c r="BCL16" s="33"/>
      <c r="BCM16" s="33"/>
      <c r="BCN16" s="33"/>
      <c r="BCO16" s="33"/>
      <c r="BCP16" s="33"/>
      <c r="BCQ16" s="33"/>
      <c r="BCR16" s="33"/>
      <c r="BCS16" s="33"/>
      <c r="BCT16" s="33"/>
      <c r="BCU16" s="33"/>
      <c r="BCV16" s="33"/>
      <c r="BCW16" s="33"/>
      <c r="BCX16" s="33"/>
      <c r="BCY16" s="33"/>
      <c r="BCZ16" s="33"/>
      <c r="BDA16" s="33"/>
      <c r="BDB16" s="33"/>
      <c r="BDC16" s="33"/>
      <c r="BDD16" s="33"/>
      <c r="BDE16" s="33"/>
      <c r="BDF16" s="33"/>
      <c r="BDG16" s="33"/>
      <c r="BDH16" s="33"/>
      <c r="BDI16" s="33"/>
      <c r="BDJ16" s="33"/>
      <c r="BDK16" s="33"/>
      <c r="BDL16" s="33"/>
      <c r="BDM16" s="33"/>
      <c r="BDN16" s="33"/>
      <c r="BDO16" s="33"/>
      <c r="BDP16" s="33"/>
      <c r="BDQ16" s="33"/>
      <c r="BDR16" s="33"/>
      <c r="BDS16" s="33"/>
      <c r="BDT16" s="33"/>
      <c r="BDU16" s="33"/>
      <c r="BDV16" s="33"/>
      <c r="BDW16" s="33"/>
      <c r="BDX16" s="33"/>
      <c r="BDY16" s="33"/>
      <c r="BDZ16" s="33"/>
      <c r="BEA16" s="33"/>
      <c r="BEB16" s="33"/>
      <c r="BEC16" s="33"/>
      <c r="BED16" s="33"/>
      <c r="BEE16" s="33"/>
      <c r="BEF16" s="33"/>
      <c r="BEG16" s="33"/>
      <c r="BEH16" s="33"/>
      <c r="BEI16" s="33"/>
      <c r="BEJ16" s="33"/>
      <c r="BEK16" s="33"/>
      <c r="BEL16" s="33"/>
      <c r="BEM16" s="33"/>
      <c r="BEN16" s="33"/>
      <c r="BEO16" s="33"/>
      <c r="BEP16" s="33"/>
      <c r="BEQ16" s="33"/>
      <c r="BER16" s="33"/>
      <c r="BES16" s="33"/>
      <c r="BET16" s="33"/>
      <c r="BEU16" s="33"/>
      <c r="BEV16" s="33"/>
      <c r="BEW16" s="33"/>
      <c r="BEX16" s="33"/>
      <c r="BEY16" s="33"/>
      <c r="BEZ16" s="33"/>
      <c r="BFA16" s="33"/>
      <c r="BFB16" s="33"/>
      <c r="BFC16" s="33"/>
      <c r="BFD16" s="33"/>
      <c r="BFE16" s="33"/>
      <c r="BFF16" s="33"/>
      <c r="BFG16" s="33"/>
      <c r="BFH16" s="33"/>
      <c r="BFI16" s="33"/>
      <c r="BFJ16" s="33"/>
      <c r="BFK16" s="33"/>
      <c r="BFL16" s="33"/>
      <c r="BFM16" s="33"/>
      <c r="BFN16" s="33"/>
      <c r="BFO16" s="33"/>
      <c r="BFP16" s="33"/>
      <c r="BFQ16" s="33"/>
      <c r="BFR16" s="33"/>
      <c r="BFS16" s="33"/>
      <c r="BFT16" s="33"/>
      <c r="BFU16" s="33"/>
      <c r="BFV16" s="33"/>
      <c r="BFW16" s="33"/>
      <c r="BFX16" s="33"/>
      <c r="BFY16" s="33"/>
      <c r="BFZ16" s="33"/>
      <c r="BGA16" s="33"/>
      <c r="BGB16" s="33"/>
      <c r="BGC16" s="33"/>
      <c r="BGD16" s="33"/>
      <c r="BGE16" s="33"/>
      <c r="BGF16" s="33"/>
      <c r="BGG16" s="33"/>
      <c r="BGH16" s="33"/>
      <c r="BGI16" s="33"/>
      <c r="BGJ16" s="33"/>
      <c r="BGK16" s="33"/>
      <c r="BGL16" s="33"/>
      <c r="BGM16" s="33"/>
      <c r="BGN16" s="33"/>
      <c r="BGO16" s="33"/>
      <c r="BGP16" s="33"/>
      <c r="BGQ16" s="33"/>
      <c r="BGR16" s="33"/>
      <c r="BGS16" s="33"/>
      <c r="BGT16" s="33"/>
      <c r="BGU16" s="33"/>
      <c r="BGV16" s="33"/>
      <c r="BGW16" s="33"/>
      <c r="BGX16" s="33"/>
      <c r="BGY16" s="33"/>
      <c r="BGZ16" s="33"/>
      <c r="BHA16" s="33"/>
      <c r="BHB16" s="33"/>
      <c r="BHC16" s="33"/>
      <c r="BHD16" s="33"/>
      <c r="BHE16" s="33"/>
      <c r="BHF16" s="33"/>
      <c r="BHG16" s="33"/>
      <c r="BHH16" s="33"/>
      <c r="BHI16" s="33"/>
      <c r="BHJ16" s="33"/>
      <c r="BHK16" s="33"/>
      <c r="BHL16" s="33"/>
      <c r="BHM16" s="33"/>
      <c r="BHN16" s="33"/>
      <c r="BHO16" s="33"/>
      <c r="BHP16" s="33"/>
      <c r="BHQ16" s="33"/>
      <c r="BHR16" s="33"/>
      <c r="BHS16" s="33"/>
      <c r="BHT16" s="33"/>
      <c r="BHU16" s="33"/>
      <c r="BHV16" s="33"/>
      <c r="BHW16" s="33"/>
      <c r="BHX16" s="33"/>
      <c r="BHY16" s="33"/>
      <c r="BHZ16" s="33"/>
      <c r="BIA16" s="33"/>
      <c r="BIB16" s="33"/>
      <c r="BIC16" s="33"/>
      <c r="BID16" s="33"/>
      <c r="BIE16" s="33"/>
      <c r="BIF16" s="33"/>
      <c r="BIG16" s="33"/>
      <c r="BIH16" s="33"/>
      <c r="BII16" s="33"/>
      <c r="BIJ16" s="33"/>
      <c r="BIK16" s="33"/>
      <c r="BIL16" s="33"/>
      <c r="BIM16" s="33"/>
      <c r="BIN16" s="33"/>
      <c r="BIO16" s="33"/>
      <c r="BIP16" s="33"/>
      <c r="BIQ16" s="33"/>
      <c r="BIR16" s="33"/>
      <c r="BIS16" s="33"/>
      <c r="BIT16" s="33"/>
      <c r="BIU16" s="33"/>
      <c r="BIV16" s="33"/>
      <c r="BIW16" s="33"/>
      <c r="BIX16" s="33"/>
      <c r="BIY16" s="33"/>
      <c r="BIZ16" s="33"/>
      <c r="BJA16" s="33"/>
      <c r="BJB16" s="33"/>
      <c r="BJC16" s="33"/>
      <c r="BJD16" s="33"/>
      <c r="BJE16" s="33"/>
      <c r="BJF16" s="33"/>
      <c r="BJG16" s="33"/>
      <c r="BJH16" s="33"/>
      <c r="BJI16" s="33"/>
      <c r="BJJ16" s="33"/>
      <c r="BJK16" s="33"/>
      <c r="BJL16" s="33"/>
      <c r="BJM16" s="33"/>
      <c r="BJN16" s="33"/>
      <c r="BJO16" s="33"/>
      <c r="BJP16" s="33"/>
      <c r="BJQ16" s="33"/>
      <c r="BJR16" s="33"/>
      <c r="BJS16" s="33"/>
      <c r="BJT16" s="33"/>
      <c r="BJU16" s="33"/>
      <c r="BJV16" s="33"/>
      <c r="BJW16" s="33"/>
      <c r="BJX16" s="33"/>
      <c r="BJY16" s="33"/>
      <c r="BJZ16" s="33"/>
      <c r="BKA16" s="33"/>
      <c r="BKB16" s="33"/>
      <c r="BKC16" s="33"/>
      <c r="BKD16" s="33"/>
      <c r="BKE16" s="33"/>
      <c r="BKF16" s="33"/>
      <c r="BKG16" s="33"/>
      <c r="BKH16" s="33"/>
      <c r="BKI16" s="33"/>
      <c r="BKJ16" s="33"/>
      <c r="BKK16" s="33"/>
      <c r="BKL16" s="33"/>
      <c r="BKM16" s="33"/>
      <c r="BKN16" s="33"/>
      <c r="BKO16" s="33"/>
      <c r="BKP16" s="33"/>
      <c r="BKQ16" s="33"/>
      <c r="BKR16" s="33"/>
      <c r="BKS16" s="33"/>
      <c r="BKT16" s="33"/>
      <c r="BKU16" s="33"/>
      <c r="BKV16" s="33"/>
      <c r="BKW16" s="33"/>
      <c r="BKX16" s="33"/>
      <c r="BKY16" s="33"/>
      <c r="BKZ16" s="33"/>
      <c r="BLA16" s="33"/>
      <c r="BLB16" s="33"/>
      <c r="BLC16" s="33"/>
      <c r="BLD16" s="33"/>
      <c r="BLE16" s="33"/>
      <c r="BLF16" s="33"/>
      <c r="BLG16" s="33"/>
      <c r="BLH16" s="33"/>
      <c r="BLI16" s="33"/>
      <c r="BLJ16" s="33"/>
      <c r="BLK16" s="33"/>
      <c r="BLL16" s="33"/>
      <c r="BLM16" s="33"/>
      <c r="BLN16" s="33"/>
      <c r="BLO16" s="33"/>
      <c r="BLP16" s="33"/>
      <c r="BLQ16" s="33"/>
      <c r="BLR16" s="33"/>
      <c r="BLS16" s="33"/>
      <c r="BLT16" s="33"/>
      <c r="BLU16" s="33"/>
      <c r="BLV16" s="33"/>
      <c r="BLW16" s="33"/>
      <c r="BLX16" s="33"/>
      <c r="BLY16" s="33"/>
      <c r="BLZ16" s="33"/>
      <c r="BMA16" s="33"/>
      <c r="BMB16" s="33"/>
      <c r="BMC16" s="33"/>
      <c r="BMD16" s="33"/>
      <c r="BME16" s="33"/>
      <c r="BMF16" s="33"/>
      <c r="BMG16" s="33"/>
      <c r="BMH16" s="33"/>
      <c r="BMI16" s="33"/>
      <c r="BMJ16" s="33"/>
      <c r="BMK16" s="33"/>
      <c r="BML16" s="33"/>
      <c r="BMM16" s="33"/>
      <c r="BMN16" s="33"/>
      <c r="BMO16" s="33"/>
      <c r="BMP16" s="33"/>
      <c r="BMQ16" s="33"/>
      <c r="BMR16" s="33"/>
      <c r="BMS16" s="33"/>
      <c r="BMT16" s="33"/>
      <c r="BMU16" s="33"/>
      <c r="BMV16" s="33"/>
      <c r="BMW16" s="33"/>
      <c r="BMX16" s="33"/>
      <c r="BMY16" s="33"/>
      <c r="BMZ16" s="33"/>
      <c r="BNA16" s="33"/>
      <c r="BNB16" s="33"/>
      <c r="BNC16" s="33"/>
      <c r="BND16" s="33"/>
      <c r="BNE16" s="33"/>
      <c r="BNF16" s="33"/>
      <c r="BNG16" s="33"/>
      <c r="BNH16" s="33"/>
      <c r="BNI16" s="33"/>
      <c r="BNJ16" s="33"/>
      <c r="BNK16" s="33"/>
      <c r="BNL16" s="33"/>
      <c r="BNM16" s="33"/>
      <c r="BNN16" s="33"/>
      <c r="BNO16" s="33"/>
      <c r="BNP16" s="33"/>
      <c r="BNQ16" s="33"/>
      <c r="BNR16" s="33"/>
      <c r="BNS16" s="33"/>
      <c r="BNT16" s="33"/>
      <c r="BNU16" s="33"/>
      <c r="BNV16" s="33"/>
      <c r="BNW16" s="33"/>
      <c r="BNX16" s="33"/>
      <c r="BNY16" s="33"/>
      <c r="BNZ16" s="33"/>
      <c r="BOA16" s="33"/>
      <c r="BOB16" s="33"/>
      <c r="BOC16" s="33"/>
      <c r="BOD16" s="33"/>
      <c r="BOE16" s="33"/>
      <c r="BOF16" s="33"/>
      <c r="BOG16" s="33"/>
      <c r="BOH16" s="33"/>
      <c r="BOI16" s="33"/>
      <c r="BOJ16" s="33"/>
      <c r="BOK16" s="33"/>
      <c r="BOL16" s="33"/>
      <c r="BOM16" s="33"/>
      <c r="BON16" s="33"/>
      <c r="BOO16" s="33"/>
      <c r="BOP16" s="33"/>
      <c r="BOQ16" s="33"/>
      <c r="BOR16" s="33"/>
      <c r="BOS16" s="33"/>
      <c r="BOT16" s="33"/>
      <c r="BOU16" s="33"/>
      <c r="BOV16" s="33"/>
      <c r="BOW16" s="33"/>
      <c r="BOX16" s="33"/>
      <c r="BOY16" s="33"/>
      <c r="BOZ16" s="33"/>
      <c r="BPA16" s="33"/>
      <c r="BPB16" s="33"/>
      <c r="BPC16" s="33"/>
      <c r="BPD16" s="33"/>
      <c r="BPE16" s="33"/>
      <c r="BPF16" s="33"/>
      <c r="BPG16" s="33"/>
      <c r="BPH16" s="33"/>
      <c r="BPI16" s="33"/>
      <c r="BPJ16" s="33"/>
      <c r="BPK16" s="33"/>
      <c r="BPL16" s="33"/>
      <c r="BPM16" s="33"/>
      <c r="BPN16" s="33"/>
      <c r="BPO16" s="33"/>
      <c r="BPP16" s="33"/>
      <c r="BPQ16" s="33"/>
      <c r="BPR16" s="33"/>
      <c r="BPS16" s="33"/>
      <c r="BPT16" s="33"/>
      <c r="BPU16" s="33"/>
      <c r="BPV16" s="33"/>
      <c r="BPW16" s="33"/>
      <c r="BPX16" s="33"/>
      <c r="BPY16" s="33"/>
      <c r="BPZ16" s="33"/>
      <c r="BQA16" s="33"/>
      <c r="BQB16" s="33"/>
      <c r="BQC16" s="33"/>
      <c r="BQD16" s="33"/>
      <c r="BQE16" s="33"/>
      <c r="BQF16" s="33"/>
      <c r="BQG16" s="33"/>
      <c r="BQH16" s="33"/>
      <c r="BQI16" s="33"/>
      <c r="BQJ16" s="33"/>
      <c r="BQK16" s="33"/>
      <c r="BQL16" s="33"/>
      <c r="BQM16" s="33"/>
      <c r="BQN16" s="33"/>
      <c r="BQO16" s="33"/>
      <c r="BQP16" s="33"/>
      <c r="BQQ16" s="33"/>
      <c r="BQR16" s="33"/>
      <c r="BQS16" s="33"/>
      <c r="BQT16" s="33"/>
      <c r="BQU16" s="33"/>
      <c r="BQV16" s="33"/>
      <c r="BQW16" s="33"/>
      <c r="BQX16" s="33"/>
      <c r="BQY16" s="33"/>
      <c r="BQZ16" s="33"/>
      <c r="BRA16" s="33"/>
      <c r="BRB16" s="33"/>
      <c r="BRC16" s="33"/>
      <c r="BRD16" s="33"/>
      <c r="BRE16" s="33"/>
      <c r="BRF16" s="33"/>
      <c r="BRG16" s="33"/>
      <c r="BRH16" s="33"/>
      <c r="BRI16" s="33"/>
      <c r="BRJ16" s="33"/>
      <c r="BRK16" s="33"/>
      <c r="BRL16" s="33"/>
      <c r="BRM16" s="33"/>
      <c r="BRN16" s="33"/>
      <c r="BRO16" s="33"/>
      <c r="BRP16" s="33"/>
      <c r="BRQ16" s="33"/>
      <c r="BRR16" s="33"/>
      <c r="BRS16" s="33"/>
      <c r="BRT16" s="33"/>
      <c r="BRU16" s="33"/>
      <c r="BRV16" s="33"/>
      <c r="BRW16" s="33"/>
      <c r="BRX16" s="33"/>
      <c r="BRY16" s="33"/>
      <c r="BRZ16" s="33"/>
      <c r="BSA16" s="33"/>
      <c r="BSB16" s="33"/>
      <c r="BSC16" s="33"/>
      <c r="BSD16" s="33"/>
      <c r="BSE16" s="33"/>
      <c r="BSF16" s="33"/>
      <c r="BSG16" s="33"/>
      <c r="BSH16" s="33"/>
      <c r="BSI16" s="33"/>
      <c r="BSJ16" s="33"/>
      <c r="BSK16" s="33"/>
      <c r="BSL16" s="33"/>
      <c r="BSM16" s="33"/>
      <c r="BSN16" s="33"/>
      <c r="BSO16" s="33"/>
      <c r="BSP16" s="33"/>
      <c r="BSQ16" s="33"/>
      <c r="BSR16" s="33"/>
      <c r="BSS16" s="33"/>
      <c r="BST16" s="33"/>
      <c r="BSU16" s="33"/>
      <c r="BSV16" s="33"/>
      <c r="BSW16" s="33"/>
      <c r="BSX16" s="33"/>
      <c r="BSY16" s="33"/>
      <c r="BSZ16" s="33"/>
      <c r="BTA16" s="33"/>
      <c r="BTB16" s="33"/>
      <c r="BTC16" s="33"/>
      <c r="BTD16" s="33"/>
      <c r="BTE16" s="33"/>
      <c r="BTF16" s="33"/>
      <c r="BTG16" s="33"/>
      <c r="BTH16" s="33"/>
      <c r="BTI16" s="33"/>
      <c r="BTJ16" s="33"/>
      <c r="BTK16" s="33"/>
      <c r="BTL16" s="33"/>
      <c r="BTM16" s="33"/>
      <c r="BTN16" s="33"/>
      <c r="BTO16" s="33"/>
      <c r="BTP16" s="33"/>
      <c r="BTQ16" s="33"/>
      <c r="BTR16" s="33"/>
      <c r="BTS16" s="33"/>
      <c r="BTT16" s="33"/>
      <c r="BTU16" s="33"/>
      <c r="BTV16" s="33"/>
      <c r="BTW16" s="33"/>
      <c r="BTX16" s="33"/>
      <c r="BTY16" s="33"/>
      <c r="BTZ16" s="33"/>
      <c r="BUA16" s="33"/>
      <c r="BUB16" s="33"/>
      <c r="BUC16" s="33"/>
      <c r="BUD16" s="33"/>
      <c r="BUE16" s="33"/>
      <c r="BUF16" s="33"/>
      <c r="BUG16" s="33"/>
      <c r="BUH16" s="33"/>
      <c r="BUI16" s="33"/>
      <c r="BUJ16" s="33"/>
      <c r="BUK16" s="33"/>
      <c r="BUL16" s="33"/>
      <c r="BUM16" s="33"/>
      <c r="BUN16" s="33"/>
      <c r="BUO16" s="33"/>
      <c r="BUP16" s="33"/>
      <c r="BUQ16" s="33"/>
      <c r="BUR16" s="33"/>
      <c r="BUS16" s="33"/>
      <c r="BUT16" s="33"/>
      <c r="BUU16" s="33"/>
      <c r="BUV16" s="33"/>
      <c r="BUW16" s="33"/>
      <c r="BUX16" s="33"/>
      <c r="BUY16" s="33"/>
      <c r="BUZ16" s="33"/>
      <c r="BVA16" s="33"/>
      <c r="BVB16" s="33"/>
      <c r="BVC16" s="33"/>
      <c r="BVD16" s="33"/>
      <c r="BVE16" s="33"/>
      <c r="BVF16" s="33"/>
      <c r="BVG16" s="33"/>
      <c r="BVH16" s="33"/>
      <c r="BVI16" s="33"/>
      <c r="BVJ16" s="33"/>
      <c r="BVK16" s="33"/>
      <c r="BVL16" s="33"/>
      <c r="BVM16" s="33"/>
      <c r="BVN16" s="33"/>
      <c r="BVO16" s="33"/>
      <c r="BVP16" s="33"/>
      <c r="BVQ16" s="33"/>
      <c r="BVR16" s="33"/>
      <c r="BVS16" s="33"/>
      <c r="BVT16" s="33"/>
      <c r="BVU16" s="33"/>
      <c r="BVV16" s="33"/>
      <c r="BVW16" s="33"/>
      <c r="BVX16" s="33"/>
      <c r="BVY16" s="33"/>
      <c r="BVZ16" s="33"/>
      <c r="BWA16" s="33"/>
      <c r="BWB16" s="33"/>
      <c r="BWC16" s="33"/>
      <c r="BWD16" s="33"/>
      <c r="BWE16" s="33"/>
      <c r="BWF16" s="33"/>
      <c r="BWG16" s="33"/>
      <c r="BWH16" s="33"/>
      <c r="BWI16" s="33"/>
      <c r="BWJ16" s="33"/>
      <c r="BWK16" s="33"/>
      <c r="BWL16" s="33"/>
      <c r="BWM16" s="33"/>
      <c r="BWN16" s="33"/>
      <c r="BWO16" s="33"/>
      <c r="BWP16" s="33"/>
      <c r="BWQ16" s="33"/>
      <c r="BWR16" s="33"/>
      <c r="BWS16" s="33"/>
      <c r="BWT16" s="33"/>
      <c r="BWU16" s="33"/>
      <c r="BWV16" s="33"/>
      <c r="BWW16" s="33"/>
      <c r="BWX16" s="33"/>
      <c r="BWY16" s="33"/>
      <c r="BWZ16" s="33"/>
      <c r="BXA16" s="33"/>
      <c r="BXB16" s="33"/>
      <c r="BXC16" s="33"/>
      <c r="BXD16" s="33"/>
      <c r="BXE16" s="33"/>
      <c r="BXF16" s="33"/>
      <c r="BXG16" s="33"/>
      <c r="BXH16" s="33"/>
      <c r="BXI16" s="33"/>
      <c r="BXJ16" s="33"/>
      <c r="BXK16" s="33"/>
      <c r="BXL16" s="33"/>
      <c r="BXM16" s="33"/>
      <c r="BXN16" s="33"/>
      <c r="BXO16" s="33"/>
      <c r="BXP16" s="33"/>
      <c r="BXQ16" s="33"/>
      <c r="BXR16" s="33"/>
      <c r="BXS16" s="33"/>
      <c r="BXT16" s="33"/>
      <c r="BXU16" s="33"/>
      <c r="BXV16" s="33"/>
      <c r="BXW16" s="33"/>
      <c r="BXX16" s="33"/>
      <c r="BXY16" s="33"/>
      <c r="BXZ16" s="33"/>
      <c r="BYA16" s="33"/>
      <c r="BYB16" s="33"/>
      <c r="BYC16" s="33"/>
      <c r="BYD16" s="33"/>
      <c r="BYE16" s="33"/>
      <c r="BYF16" s="33"/>
      <c r="BYG16" s="33"/>
      <c r="BYH16" s="33"/>
      <c r="BYI16" s="33"/>
      <c r="BYJ16" s="33"/>
      <c r="BYK16" s="33"/>
      <c r="BYL16" s="33"/>
      <c r="BYM16" s="33"/>
      <c r="BYN16" s="33"/>
      <c r="BYO16" s="33"/>
      <c r="BYP16" s="33"/>
      <c r="BYQ16" s="33"/>
      <c r="BYR16" s="33"/>
      <c r="BYS16" s="33"/>
      <c r="BYT16" s="33"/>
      <c r="BYU16" s="33"/>
      <c r="BYV16" s="33"/>
      <c r="BYW16" s="33"/>
      <c r="BYX16" s="33"/>
      <c r="BYY16" s="33"/>
      <c r="BYZ16" s="33"/>
      <c r="BZA16" s="33"/>
      <c r="BZB16" s="33"/>
      <c r="BZC16" s="33"/>
      <c r="BZD16" s="33"/>
      <c r="BZE16" s="33"/>
      <c r="BZF16" s="33"/>
      <c r="BZG16" s="33"/>
      <c r="BZH16" s="33"/>
      <c r="BZI16" s="33"/>
      <c r="BZJ16" s="33"/>
      <c r="BZK16" s="33"/>
      <c r="BZL16" s="33"/>
      <c r="BZM16" s="33"/>
      <c r="BZN16" s="33"/>
      <c r="BZO16" s="33"/>
      <c r="BZP16" s="33"/>
      <c r="BZQ16" s="33"/>
      <c r="BZR16" s="33"/>
      <c r="BZS16" s="33"/>
      <c r="BZT16" s="33"/>
      <c r="BZU16" s="33"/>
      <c r="BZV16" s="33"/>
      <c r="BZW16" s="33"/>
      <c r="BZX16" s="33"/>
      <c r="BZY16" s="33"/>
      <c r="BZZ16" s="33"/>
      <c r="CAA16" s="33"/>
      <c r="CAB16" s="33"/>
      <c r="CAC16" s="33"/>
      <c r="CAD16" s="33"/>
      <c r="CAE16" s="33"/>
      <c r="CAF16" s="33"/>
      <c r="CAG16" s="33"/>
      <c r="CAH16" s="33"/>
      <c r="CAI16" s="33"/>
      <c r="CAJ16" s="33"/>
      <c r="CAK16" s="33"/>
      <c r="CAL16" s="33"/>
      <c r="CAM16" s="33"/>
      <c r="CAN16" s="33"/>
      <c r="CAO16" s="33"/>
      <c r="CAP16" s="33"/>
      <c r="CAQ16" s="33"/>
      <c r="CAR16" s="33"/>
      <c r="CAS16" s="33"/>
      <c r="CAT16" s="33"/>
      <c r="CAU16" s="33"/>
      <c r="CAV16" s="33"/>
      <c r="CAW16" s="33"/>
      <c r="CAX16" s="33"/>
      <c r="CAY16" s="33"/>
      <c r="CAZ16" s="33"/>
      <c r="CBA16" s="33"/>
      <c r="CBB16" s="33"/>
      <c r="CBC16" s="33"/>
      <c r="CBD16" s="33"/>
      <c r="CBE16" s="33"/>
      <c r="CBF16" s="33"/>
      <c r="CBG16" s="33"/>
      <c r="CBH16" s="33"/>
      <c r="CBI16" s="33"/>
      <c r="CBJ16" s="33"/>
      <c r="CBK16" s="33"/>
      <c r="CBL16" s="33"/>
      <c r="CBM16" s="33"/>
      <c r="CBN16" s="33"/>
      <c r="CBO16" s="33"/>
      <c r="CBP16" s="33"/>
      <c r="CBQ16" s="33"/>
      <c r="CBR16" s="33"/>
      <c r="CBS16" s="33"/>
      <c r="CBT16" s="33"/>
      <c r="CBU16" s="33"/>
      <c r="CBV16" s="33"/>
      <c r="CBW16" s="33"/>
      <c r="CBX16" s="33"/>
      <c r="CBY16" s="33"/>
      <c r="CBZ16" s="33"/>
      <c r="CCA16" s="33"/>
      <c r="CCB16" s="33"/>
      <c r="CCC16" s="33"/>
      <c r="CCD16" s="33"/>
      <c r="CCE16" s="33"/>
      <c r="CCF16" s="33"/>
      <c r="CCG16" s="33"/>
      <c r="CCH16" s="33"/>
      <c r="CCI16" s="33"/>
      <c r="CCJ16" s="33"/>
      <c r="CCK16" s="33"/>
      <c r="CCL16" s="33"/>
      <c r="CCM16" s="33"/>
      <c r="CCN16" s="33"/>
      <c r="CCO16" s="33"/>
      <c r="CCP16" s="33"/>
      <c r="CCQ16" s="33"/>
      <c r="CCR16" s="33"/>
      <c r="CCS16" s="33"/>
      <c r="CCT16" s="33"/>
      <c r="CCU16" s="33"/>
      <c r="CCV16" s="33"/>
      <c r="CCW16" s="33"/>
      <c r="CCX16" s="33"/>
      <c r="CCY16" s="33"/>
      <c r="CCZ16" s="33"/>
      <c r="CDA16" s="33"/>
      <c r="CDB16" s="33"/>
      <c r="CDC16" s="33"/>
      <c r="CDD16" s="33"/>
      <c r="CDE16" s="33"/>
      <c r="CDF16" s="33"/>
      <c r="CDG16" s="33"/>
      <c r="CDH16" s="33"/>
      <c r="CDI16" s="33"/>
      <c r="CDJ16" s="33"/>
      <c r="CDK16" s="33"/>
      <c r="CDL16" s="33"/>
      <c r="CDM16" s="33"/>
      <c r="CDN16" s="33"/>
      <c r="CDO16" s="33"/>
      <c r="CDP16" s="33"/>
      <c r="CDQ16" s="33"/>
      <c r="CDR16" s="33"/>
      <c r="CDS16" s="33"/>
      <c r="CDT16" s="33"/>
      <c r="CDU16" s="33"/>
      <c r="CDV16" s="33"/>
      <c r="CDW16" s="33"/>
      <c r="CDX16" s="33"/>
      <c r="CDY16" s="33"/>
      <c r="CDZ16" s="33"/>
      <c r="CEA16" s="33"/>
      <c r="CEB16" s="33"/>
      <c r="CEC16" s="33"/>
      <c r="CED16" s="33"/>
      <c r="CEE16" s="33"/>
      <c r="CEF16" s="33"/>
      <c r="CEG16" s="33"/>
      <c r="CEH16" s="33"/>
      <c r="CEI16" s="33"/>
      <c r="CEJ16" s="33"/>
      <c r="CEK16" s="33"/>
      <c r="CEL16" s="33"/>
      <c r="CEM16" s="33"/>
      <c r="CEN16" s="33"/>
      <c r="CEO16" s="33"/>
      <c r="CEP16" s="33"/>
      <c r="CEQ16" s="33"/>
      <c r="CER16" s="33"/>
      <c r="CES16" s="33"/>
      <c r="CET16" s="33"/>
      <c r="CEU16" s="33"/>
      <c r="CEV16" s="33"/>
      <c r="CEW16" s="33"/>
      <c r="CEX16" s="33"/>
      <c r="CEY16" s="33"/>
      <c r="CEZ16" s="33"/>
      <c r="CFA16" s="33"/>
      <c r="CFB16" s="33"/>
      <c r="CFC16" s="33"/>
      <c r="CFD16" s="33"/>
      <c r="CFE16" s="33"/>
      <c r="CFF16" s="33"/>
      <c r="CFG16" s="33"/>
      <c r="CFH16" s="33"/>
      <c r="CFI16" s="33"/>
      <c r="CFJ16" s="33"/>
      <c r="CFK16" s="33"/>
      <c r="CFL16" s="33"/>
      <c r="CFM16" s="33"/>
      <c r="CFN16" s="33"/>
      <c r="CFO16" s="33"/>
      <c r="CFP16" s="33"/>
      <c r="CFQ16" s="33"/>
      <c r="CFR16" s="33"/>
      <c r="CFS16" s="33"/>
      <c r="CFT16" s="33"/>
      <c r="CFU16" s="33"/>
      <c r="CFV16" s="33"/>
      <c r="CFW16" s="33"/>
      <c r="CFX16" s="33"/>
      <c r="CFY16" s="33"/>
      <c r="CFZ16" s="33"/>
      <c r="CGA16" s="33"/>
      <c r="CGB16" s="33"/>
      <c r="CGC16" s="33"/>
      <c r="CGD16" s="33"/>
      <c r="CGE16" s="33"/>
      <c r="CGF16" s="33"/>
      <c r="CGG16" s="33"/>
      <c r="CGH16" s="33"/>
      <c r="CGI16" s="33"/>
      <c r="CGJ16" s="33"/>
      <c r="CGK16" s="33"/>
      <c r="CGL16" s="33"/>
      <c r="CGM16" s="33"/>
      <c r="CGN16" s="33"/>
      <c r="CGO16" s="33"/>
      <c r="CGP16" s="33"/>
      <c r="CGQ16" s="33"/>
      <c r="CGR16" s="33"/>
      <c r="CGS16" s="33"/>
      <c r="CGT16" s="33"/>
      <c r="CGU16" s="33"/>
      <c r="CGV16" s="33"/>
      <c r="CGW16" s="33"/>
      <c r="CGX16" s="33"/>
      <c r="CGY16" s="33"/>
      <c r="CGZ16" s="33"/>
      <c r="CHA16" s="33"/>
      <c r="CHB16" s="33"/>
      <c r="CHC16" s="33"/>
      <c r="CHD16" s="33"/>
      <c r="CHE16" s="33"/>
      <c r="CHF16" s="33"/>
      <c r="CHG16" s="33"/>
      <c r="CHH16" s="33"/>
      <c r="CHI16" s="33"/>
      <c r="CHJ16" s="33"/>
      <c r="CHK16" s="33"/>
      <c r="CHL16" s="33"/>
      <c r="CHM16" s="33"/>
      <c r="CHN16" s="33"/>
      <c r="CHO16" s="33"/>
      <c r="CHP16" s="33"/>
      <c r="CHQ16" s="33"/>
      <c r="CHR16" s="33"/>
      <c r="CHS16" s="33"/>
      <c r="CHT16" s="33"/>
      <c r="CHU16" s="33"/>
      <c r="CHV16" s="33"/>
      <c r="CHW16" s="33"/>
      <c r="CHX16" s="33"/>
      <c r="CHY16" s="33"/>
      <c r="CHZ16" s="33"/>
      <c r="CIA16" s="33"/>
      <c r="CIB16" s="33"/>
      <c r="CIC16" s="33"/>
      <c r="CID16" s="33"/>
      <c r="CIE16" s="33"/>
      <c r="CIF16" s="33"/>
      <c r="CIG16" s="33"/>
      <c r="CIH16" s="33"/>
      <c r="CII16" s="33"/>
      <c r="CIJ16" s="33"/>
      <c r="CIK16" s="33"/>
      <c r="CIL16" s="33"/>
      <c r="CIM16" s="33"/>
      <c r="CIN16" s="33"/>
      <c r="CIO16" s="33"/>
      <c r="CIP16" s="33"/>
      <c r="CIQ16" s="33"/>
      <c r="CIR16" s="33"/>
      <c r="CIS16" s="33"/>
      <c r="CIT16" s="33"/>
      <c r="CIU16" s="33"/>
      <c r="CIV16" s="33"/>
      <c r="CIW16" s="33"/>
      <c r="CIX16" s="33"/>
      <c r="CIY16" s="33"/>
      <c r="CIZ16" s="33"/>
      <c r="CJA16" s="33"/>
      <c r="CJB16" s="33"/>
      <c r="CJC16" s="33"/>
      <c r="CJD16" s="33"/>
      <c r="CJE16" s="33"/>
      <c r="CJF16" s="33"/>
      <c r="CJG16" s="33"/>
      <c r="CJH16" s="33"/>
      <c r="CJI16" s="33"/>
      <c r="CJJ16" s="33"/>
      <c r="CJK16" s="33"/>
      <c r="CJL16" s="33"/>
      <c r="CJM16" s="33"/>
      <c r="CJN16" s="33"/>
      <c r="CJO16" s="33"/>
      <c r="CJP16" s="33"/>
      <c r="CJQ16" s="33"/>
      <c r="CJR16" s="33"/>
      <c r="CJS16" s="33"/>
      <c r="CJT16" s="33"/>
      <c r="CJU16" s="33"/>
      <c r="CJV16" s="33"/>
      <c r="CJW16" s="33"/>
      <c r="CJX16" s="33"/>
      <c r="CJY16" s="33"/>
      <c r="CJZ16" s="33"/>
      <c r="CKA16" s="33"/>
      <c r="CKB16" s="33"/>
      <c r="CKC16" s="33"/>
      <c r="CKD16" s="33"/>
      <c r="CKE16" s="33"/>
      <c r="CKF16" s="33"/>
      <c r="CKG16" s="33"/>
      <c r="CKH16" s="33"/>
      <c r="CKI16" s="33"/>
      <c r="CKJ16" s="33"/>
      <c r="CKK16" s="33"/>
      <c r="CKL16" s="33"/>
      <c r="CKM16" s="33"/>
      <c r="CKN16" s="33"/>
      <c r="CKO16" s="33"/>
      <c r="CKP16" s="33"/>
      <c r="CKQ16" s="33"/>
      <c r="CKR16" s="33"/>
      <c r="CKS16" s="33"/>
      <c r="CKT16" s="33"/>
      <c r="CKU16" s="33"/>
      <c r="CKV16" s="33"/>
      <c r="CKW16" s="33"/>
      <c r="CKX16" s="33"/>
      <c r="CKY16" s="33"/>
      <c r="CKZ16" s="33"/>
      <c r="CLA16" s="33"/>
      <c r="CLB16" s="33"/>
      <c r="CLC16" s="33"/>
      <c r="CLD16" s="33"/>
      <c r="CLE16" s="33"/>
      <c r="CLF16" s="33"/>
      <c r="CLG16" s="33"/>
      <c r="CLH16" s="33"/>
      <c r="CLI16" s="33"/>
      <c r="CLJ16" s="33"/>
      <c r="CLK16" s="33"/>
      <c r="CLL16" s="33"/>
      <c r="CLM16" s="33"/>
      <c r="CLN16" s="33"/>
      <c r="CLO16" s="33"/>
      <c r="CLP16" s="33"/>
      <c r="CLQ16" s="33"/>
      <c r="CLR16" s="33"/>
      <c r="CLS16" s="33"/>
      <c r="CLT16" s="33"/>
      <c r="CLU16" s="33"/>
      <c r="CLV16" s="33"/>
      <c r="CLW16" s="33"/>
      <c r="CLX16" s="33"/>
      <c r="CLY16" s="33"/>
      <c r="CLZ16" s="33"/>
      <c r="CMA16" s="33"/>
      <c r="CMB16" s="33"/>
      <c r="CMC16" s="33"/>
      <c r="CMD16" s="33"/>
      <c r="CME16" s="33"/>
      <c r="CMF16" s="33"/>
      <c r="CMG16" s="33"/>
      <c r="CMH16" s="33"/>
      <c r="CMI16" s="33"/>
      <c r="CMJ16" s="33"/>
      <c r="CMK16" s="33"/>
      <c r="CML16" s="33"/>
      <c r="CMM16" s="33"/>
      <c r="CMN16" s="33"/>
      <c r="CMO16" s="33"/>
      <c r="CMP16" s="33"/>
      <c r="CMQ16" s="33"/>
      <c r="CMR16" s="33"/>
      <c r="CMS16" s="33"/>
      <c r="CMT16" s="33"/>
      <c r="CMU16" s="33"/>
      <c r="CMV16" s="33"/>
      <c r="CMW16" s="33"/>
      <c r="CMX16" s="33"/>
      <c r="CMY16" s="33"/>
      <c r="CMZ16" s="33"/>
      <c r="CNA16" s="33"/>
      <c r="CNB16" s="33"/>
      <c r="CNC16" s="33"/>
      <c r="CND16" s="33"/>
      <c r="CNE16" s="33"/>
      <c r="CNF16" s="33"/>
      <c r="CNG16" s="33"/>
      <c r="CNH16" s="33"/>
      <c r="CNI16" s="33"/>
      <c r="CNJ16" s="33"/>
      <c r="CNK16" s="33"/>
      <c r="CNL16" s="33"/>
      <c r="CNM16" s="33"/>
      <c r="CNN16" s="33"/>
      <c r="CNO16" s="33"/>
      <c r="CNP16" s="33"/>
      <c r="CNQ16" s="33"/>
      <c r="CNR16" s="33"/>
      <c r="CNS16" s="33"/>
      <c r="CNT16" s="33"/>
      <c r="CNU16" s="33"/>
      <c r="CNV16" s="33"/>
      <c r="CNW16" s="33"/>
      <c r="CNX16" s="33"/>
      <c r="CNY16" s="33"/>
      <c r="CNZ16" s="33"/>
      <c r="COA16" s="33"/>
      <c r="COB16" s="33"/>
      <c r="COC16" s="33"/>
      <c r="COD16" s="33"/>
      <c r="COE16" s="33"/>
      <c r="COF16" s="33"/>
      <c r="COG16" s="33"/>
      <c r="COH16" s="33"/>
      <c r="COI16" s="33"/>
      <c r="COJ16" s="33"/>
      <c r="COK16" s="33"/>
      <c r="COL16" s="33"/>
      <c r="COM16" s="33"/>
      <c r="CON16" s="33"/>
      <c r="COO16" s="33"/>
      <c r="COP16" s="33"/>
      <c r="COQ16" s="33"/>
      <c r="COR16" s="33"/>
      <c r="COS16" s="33"/>
      <c r="COT16" s="33"/>
      <c r="COU16" s="33"/>
      <c r="COV16" s="33"/>
      <c r="COW16" s="33"/>
      <c r="COX16" s="33"/>
      <c r="COY16" s="33"/>
      <c r="COZ16" s="33"/>
      <c r="CPA16" s="33"/>
      <c r="CPB16" s="33"/>
      <c r="CPC16" s="33"/>
      <c r="CPD16" s="33"/>
      <c r="CPE16" s="33"/>
      <c r="CPF16" s="33"/>
      <c r="CPG16" s="33"/>
      <c r="CPH16" s="33"/>
      <c r="CPI16" s="33"/>
      <c r="CPJ16" s="33"/>
      <c r="CPK16" s="33"/>
      <c r="CPL16" s="33"/>
      <c r="CPM16" s="33"/>
      <c r="CPN16" s="33"/>
      <c r="CPO16" s="33"/>
      <c r="CPP16" s="33"/>
      <c r="CPQ16" s="33"/>
      <c r="CPR16" s="33"/>
      <c r="CPS16" s="33"/>
      <c r="CPT16" s="33"/>
      <c r="CPU16" s="33"/>
      <c r="CPV16" s="33"/>
      <c r="CPW16" s="33"/>
      <c r="CPX16" s="33"/>
      <c r="CPY16" s="33"/>
      <c r="CPZ16" s="33"/>
      <c r="CQA16" s="33"/>
      <c r="CQB16" s="33"/>
      <c r="CQC16" s="33"/>
      <c r="CQD16" s="33"/>
      <c r="CQE16" s="33"/>
      <c r="CQF16" s="33"/>
      <c r="CQG16" s="33"/>
      <c r="CQH16" s="33"/>
      <c r="CQI16" s="33"/>
      <c r="CQJ16" s="33"/>
      <c r="CQK16" s="33"/>
      <c r="CQL16" s="33"/>
      <c r="CQM16" s="33"/>
      <c r="CQN16" s="33"/>
      <c r="CQO16" s="33"/>
      <c r="CQP16" s="33"/>
      <c r="CQQ16" s="33"/>
      <c r="CQR16" s="33"/>
      <c r="CQS16" s="33"/>
      <c r="CQT16" s="33"/>
      <c r="CQU16" s="33"/>
      <c r="CQV16" s="33"/>
      <c r="CQW16" s="33"/>
      <c r="CQX16" s="33"/>
      <c r="CQY16" s="33"/>
      <c r="CQZ16" s="33"/>
      <c r="CRA16" s="33"/>
      <c r="CRB16" s="33"/>
      <c r="CRC16" s="33"/>
      <c r="CRD16" s="33"/>
      <c r="CRE16" s="33"/>
      <c r="CRF16" s="33"/>
      <c r="CRG16" s="33"/>
      <c r="CRH16" s="33"/>
      <c r="CRI16" s="33"/>
      <c r="CRJ16" s="33"/>
      <c r="CRK16" s="33"/>
      <c r="CRL16" s="33"/>
      <c r="CRM16" s="33"/>
      <c r="CRN16" s="33"/>
      <c r="CRO16" s="33"/>
      <c r="CRP16" s="33"/>
      <c r="CRQ16" s="33"/>
      <c r="CRR16" s="33"/>
      <c r="CRS16" s="33"/>
      <c r="CRT16" s="33"/>
      <c r="CRU16" s="33"/>
      <c r="CRV16" s="33"/>
      <c r="CRW16" s="33"/>
      <c r="CRX16" s="33"/>
      <c r="CRY16" s="33"/>
      <c r="CRZ16" s="33"/>
      <c r="CSA16" s="33"/>
      <c r="CSB16" s="33"/>
      <c r="CSC16" s="33"/>
      <c r="CSD16" s="33"/>
      <c r="CSE16" s="33"/>
      <c r="CSF16" s="33"/>
      <c r="CSG16" s="33"/>
      <c r="CSH16" s="33"/>
      <c r="CSI16" s="33"/>
      <c r="CSJ16" s="33"/>
      <c r="CSK16" s="33"/>
      <c r="CSL16" s="33"/>
      <c r="CSM16" s="33"/>
      <c r="CSN16" s="33"/>
      <c r="CSO16" s="33"/>
      <c r="CSP16" s="33"/>
      <c r="CSQ16" s="33"/>
      <c r="CSR16" s="33"/>
      <c r="CSS16" s="33"/>
      <c r="CST16" s="33"/>
      <c r="CSU16" s="33"/>
      <c r="CSV16" s="33"/>
      <c r="CSW16" s="33"/>
      <c r="CSX16" s="33"/>
      <c r="CSY16" s="33"/>
      <c r="CSZ16" s="33"/>
      <c r="CTA16" s="33"/>
      <c r="CTB16" s="33"/>
      <c r="CTC16" s="33"/>
      <c r="CTD16" s="33"/>
      <c r="CTE16" s="33"/>
      <c r="CTF16" s="33"/>
      <c r="CTG16" s="33"/>
      <c r="CTH16" s="33"/>
      <c r="CTI16" s="33"/>
      <c r="CTJ16" s="33"/>
      <c r="CTK16" s="33"/>
      <c r="CTL16" s="33"/>
      <c r="CTM16" s="33"/>
      <c r="CTN16" s="33"/>
      <c r="CTO16" s="33"/>
      <c r="CTP16" s="33"/>
      <c r="CTQ16" s="33"/>
      <c r="CTR16" s="33"/>
      <c r="CTS16" s="33"/>
      <c r="CTT16" s="33"/>
      <c r="CTU16" s="33"/>
      <c r="CTV16" s="33"/>
      <c r="CTW16" s="33"/>
      <c r="CTX16" s="33"/>
      <c r="CTY16" s="33"/>
      <c r="CTZ16" s="33"/>
      <c r="CUA16" s="33"/>
      <c r="CUB16" s="33"/>
      <c r="CUC16" s="33"/>
      <c r="CUD16" s="33"/>
      <c r="CUE16" s="33"/>
      <c r="CUF16" s="33"/>
      <c r="CUG16" s="33"/>
      <c r="CUH16" s="33"/>
      <c r="CUI16" s="33"/>
      <c r="CUJ16" s="33"/>
      <c r="CUK16" s="33"/>
      <c r="CUL16" s="33"/>
      <c r="CUM16" s="33"/>
      <c r="CUN16" s="33"/>
      <c r="CUO16" s="33"/>
      <c r="CUP16" s="33"/>
      <c r="CUQ16" s="33"/>
      <c r="CUR16" s="33"/>
      <c r="CUS16" s="33"/>
      <c r="CUT16" s="33"/>
      <c r="CUU16" s="33"/>
      <c r="CUV16" s="33"/>
      <c r="CUW16" s="33"/>
      <c r="CUX16" s="33"/>
      <c r="CUY16" s="33"/>
      <c r="CUZ16" s="33"/>
      <c r="CVA16" s="33"/>
      <c r="CVB16" s="33"/>
      <c r="CVC16" s="33"/>
      <c r="CVD16" s="33"/>
      <c r="CVE16" s="33"/>
      <c r="CVF16" s="33"/>
      <c r="CVG16" s="33"/>
      <c r="CVH16" s="33"/>
      <c r="CVI16" s="33"/>
      <c r="CVJ16" s="33"/>
      <c r="CVK16" s="33"/>
      <c r="CVL16" s="33"/>
      <c r="CVM16" s="33"/>
      <c r="CVN16" s="33"/>
      <c r="CVO16" s="33"/>
      <c r="CVP16" s="33"/>
      <c r="CVQ16" s="33"/>
      <c r="CVR16" s="33"/>
      <c r="CVS16" s="33"/>
      <c r="CVT16" s="33"/>
      <c r="CVU16" s="33"/>
      <c r="CVV16" s="33"/>
      <c r="CVW16" s="33"/>
      <c r="CVX16" s="33"/>
      <c r="CVY16" s="33"/>
      <c r="CVZ16" s="33"/>
      <c r="CWA16" s="33"/>
      <c r="CWB16" s="33"/>
      <c r="CWC16" s="33"/>
      <c r="CWD16" s="33"/>
      <c r="CWE16" s="33"/>
      <c r="CWF16" s="33"/>
      <c r="CWG16" s="33"/>
      <c r="CWH16" s="33"/>
      <c r="CWI16" s="33"/>
      <c r="CWJ16" s="33"/>
      <c r="CWK16" s="33"/>
      <c r="CWL16" s="33"/>
      <c r="CWM16" s="33"/>
      <c r="CWN16" s="33"/>
      <c r="CWO16" s="33"/>
      <c r="CWP16" s="33"/>
      <c r="CWQ16" s="33"/>
      <c r="CWR16" s="33"/>
      <c r="CWS16" s="33"/>
      <c r="CWT16" s="33"/>
      <c r="CWU16" s="33"/>
      <c r="CWV16" s="33"/>
      <c r="CWW16" s="33"/>
      <c r="CWX16" s="33"/>
      <c r="CWY16" s="33"/>
      <c r="CWZ16" s="33"/>
      <c r="CXA16" s="33"/>
      <c r="CXB16" s="33"/>
      <c r="CXC16" s="33"/>
      <c r="CXD16" s="33"/>
      <c r="CXE16" s="33"/>
      <c r="CXF16" s="33"/>
      <c r="CXG16" s="33"/>
      <c r="CXH16" s="33"/>
      <c r="CXI16" s="33"/>
      <c r="CXJ16" s="33"/>
      <c r="CXK16" s="33"/>
      <c r="CXL16" s="33"/>
      <c r="CXM16" s="33"/>
      <c r="CXN16" s="33"/>
      <c r="CXO16" s="33"/>
      <c r="CXP16" s="33"/>
      <c r="CXQ16" s="33"/>
      <c r="CXR16" s="33"/>
      <c r="CXS16" s="33"/>
      <c r="CXT16" s="33"/>
      <c r="CXU16" s="33"/>
      <c r="CXV16" s="33"/>
      <c r="CXW16" s="33"/>
      <c r="CXX16" s="33"/>
      <c r="CXY16" s="33"/>
      <c r="CXZ16" s="33"/>
      <c r="CYA16" s="33"/>
      <c r="CYB16" s="33"/>
      <c r="CYC16" s="33"/>
      <c r="CYD16" s="33"/>
      <c r="CYE16" s="33"/>
      <c r="CYF16" s="33"/>
      <c r="CYG16" s="33"/>
      <c r="CYH16" s="33"/>
      <c r="CYI16" s="33"/>
      <c r="CYJ16" s="33"/>
      <c r="CYK16" s="33"/>
      <c r="CYL16" s="33"/>
      <c r="CYM16" s="33"/>
      <c r="CYN16" s="33"/>
      <c r="CYO16" s="33"/>
      <c r="CYP16" s="33"/>
      <c r="CYQ16" s="33"/>
      <c r="CYR16" s="33"/>
      <c r="CYS16" s="33"/>
      <c r="CYT16" s="33"/>
      <c r="CYU16" s="33"/>
      <c r="CYV16" s="33"/>
      <c r="CYW16" s="33"/>
      <c r="CYX16" s="33"/>
      <c r="CYY16" s="33"/>
      <c r="CYZ16" s="33"/>
      <c r="CZA16" s="33"/>
      <c r="CZB16" s="33"/>
      <c r="CZC16" s="33"/>
      <c r="CZD16" s="33"/>
      <c r="CZE16" s="33"/>
      <c r="CZF16" s="33"/>
      <c r="CZG16" s="33"/>
      <c r="CZH16" s="33"/>
      <c r="CZI16" s="33"/>
      <c r="CZJ16" s="33"/>
      <c r="CZK16" s="33"/>
      <c r="CZL16" s="33"/>
      <c r="CZM16" s="33"/>
      <c r="CZN16" s="33"/>
      <c r="CZO16" s="33"/>
      <c r="CZP16" s="33"/>
      <c r="CZQ16" s="33"/>
      <c r="CZR16" s="33"/>
      <c r="CZS16" s="33"/>
      <c r="CZT16" s="33"/>
      <c r="CZU16" s="33"/>
      <c r="CZV16" s="33"/>
      <c r="CZW16" s="33"/>
      <c r="CZX16" s="33"/>
      <c r="CZY16" s="33"/>
      <c r="CZZ16" s="33"/>
      <c r="DAA16" s="33"/>
      <c r="DAB16" s="33"/>
      <c r="DAC16" s="33"/>
      <c r="DAD16" s="33"/>
      <c r="DAE16" s="33"/>
      <c r="DAF16" s="33"/>
      <c r="DAG16" s="33"/>
      <c r="DAH16" s="33"/>
      <c r="DAI16" s="33"/>
      <c r="DAJ16" s="33"/>
      <c r="DAK16" s="33"/>
      <c r="DAL16" s="33"/>
      <c r="DAM16" s="33"/>
      <c r="DAN16" s="33"/>
      <c r="DAO16" s="33"/>
      <c r="DAP16" s="33"/>
      <c r="DAQ16" s="33"/>
      <c r="DAR16" s="33"/>
      <c r="DAS16" s="33"/>
      <c r="DAT16" s="33"/>
      <c r="DAU16" s="33"/>
      <c r="DAV16" s="33"/>
      <c r="DAW16" s="33"/>
      <c r="DAX16" s="33"/>
      <c r="DAY16" s="33"/>
      <c r="DAZ16" s="33"/>
      <c r="DBA16" s="33"/>
      <c r="DBB16" s="33"/>
      <c r="DBC16" s="33"/>
      <c r="DBD16" s="33"/>
      <c r="DBE16" s="33"/>
      <c r="DBF16" s="33"/>
      <c r="DBG16" s="33"/>
      <c r="DBH16" s="33"/>
      <c r="DBI16" s="33"/>
      <c r="DBJ16" s="33"/>
      <c r="DBK16" s="33"/>
      <c r="DBL16" s="33"/>
      <c r="DBM16" s="33"/>
      <c r="DBN16" s="33"/>
      <c r="DBO16" s="33"/>
      <c r="DBP16" s="33"/>
      <c r="DBQ16" s="33"/>
      <c r="DBR16" s="33"/>
      <c r="DBS16" s="33"/>
      <c r="DBT16" s="33"/>
      <c r="DBU16" s="33"/>
      <c r="DBV16" s="33"/>
      <c r="DBW16" s="33"/>
      <c r="DBX16" s="33"/>
      <c r="DBY16" s="33"/>
      <c r="DBZ16" s="33"/>
      <c r="DCA16" s="33"/>
      <c r="DCB16" s="33"/>
      <c r="DCC16" s="33"/>
      <c r="DCD16" s="33"/>
      <c r="DCE16" s="33"/>
      <c r="DCF16" s="33"/>
      <c r="DCG16" s="33"/>
      <c r="DCH16" s="33"/>
      <c r="DCI16" s="33"/>
      <c r="DCJ16" s="33"/>
      <c r="DCK16" s="33"/>
      <c r="DCL16" s="33"/>
      <c r="DCM16" s="33"/>
      <c r="DCN16" s="33"/>
      <c r="DCO16" s="33"/>
      <c r="DCP16" s="33"/>
      <c r="DCQ16" s="33"/>
      <c r="DCR16" s="33"/>
      <c r="DCS16" s="33"/>
      <c r="DCT16" s="33"/>
      <c r="DCU16" s="33"/>
      <c r="DCV16" s="33"/>
      <c r="DCW16" s="33"/>
      <c r="DCX16" s="33"/>
      <c r="DCY16" s="33"/>
      <c r="DCZ16" s="33"/>
      <c r="DDA16" s="33"/>
      <c r="DDB16" s="33"/>
      <c r="DDC16" s="33"/>
      <c r="DDD16" s="33"/>
      <c r="DDE16" s="33"/>
      <c r="DDF16" s="33"/>
      <c r="DDG16" s="33"/>
      <c r="DDH16" s="33"/>
      <c r="DDI16" s="33"/>
      <c r="DDJ16" s="33"/>
      <c r="DDK16" s="33"/>
      <c r="DDL16" s="33"/>
      <c r="DDM16" s="33"/>
      <c r="DDN16" s="33"/>
      <c r="DDO16" s="33"/>
      <c r="DDP16" s="33"/>
      <c r="DDQ16" s="33"/>
      <c r="DDR16" s="33"/>
      <c r="DDS16" s="33"/>
      <c r="DDT16" s="33"/>
      <c r="DDU16" s="33"/>
      <c r="DDV16" s="33"/>
      <c r="DDW16" s="33"/>
      <c r="DDX16" s="33"/>
      <c r="DDY16" s="33"/>
      <c r="DDZ16" s="33"/>
      <c r="DEA16" s="33"/>
      <c r="DEB16" s="33"/>
      <c r="DEC16" s="33"/>
      <c r="DED16" s="33"/>
      <c r="DEE16" s="33"/>
      <c r="DEF16" s="33"/>
      <c r="DEG16" s="33"/>
      <c r="DEH16" s="33"/>
      <c r="DEI16" s="33"/>
      <c r="DEJ16" s="33"/>
      <c r="DEK16" s="33"/>
      <c r="DEL16" s="33"/>
      <c r="DEM16" s="33"/>
      <c r="DEN16" s="33"/>
      <c r="DEO16" s="33"/>
      <c r="DEP16" s="33"/>
      <c r="DEQ16" s="33"/>
      <c r="DER16" s="33"/>
      <c r="DES16" s="33"/>
      <c r="DET16" s="33"/>
      <c r="DEU16" s="33"/>
      <c r="DEV16" s="33"/>
      <c r="DEW16" s="33"/>
      <c r="DEX16" s="33"/>
      <c r="DEY16" s="33"/>
      <c r="DEZ16" s="33"/>
      <c r="DFA16" s="33"/>
      <c r="DFB16" s="33"/>
      <c r="DFC16" s="33"/>
      <c r="DFD16" s="33"/>
      <c r="DFE16" s="33"/>
      <c r="DFF16" s="33"/>
      <c r="DFG16" s="33"/>
      <c r="DFH16" s="33"/>
      <c r="DFI16" s="33"/>
      <c r="DFJ16" s="33"/>
      <c r="DFK16" s="33"/>
      <c r="DFL16" s="33"/>
      <c r="DFM16" s="33"/>
      <c r="DFN16" s="33"/>
      <c r="DFO16" s="33"/>
      <c r="DFP16" s="33"/>
      <c r="DFQ16" s="33"/>
      <c r="DFR16" s="33"/>
      <c r="DFS16" s="33"/>
      <c r="DFT16" s="33"/>
      <c r="DFU16" s="33"/>
      <c r="DFV16" s="33"/>
      <c r="DFW16" s="33"/>
      <c r="DFX16" s="33"/>
      <c r="DFY16" s="33"/>
      <c r="DFZ16" s="33"/>
      <c r="DGA16" s="33"/>
      <c r="DGB16" s="33"/>
      <c r="DGC16" s="33"/>
      <c r="DGD16" s="33"/>
      <c r="DGE16" s="33"/>
      <c r="DGF16" s="33"/>
      <c r="DGG16" s="33"/>
      <c r="DGH16" s="33"/>
      <c r="DGI16" s="33"/>
      <c r="DGJ16" s="33"/>
      <c r="DGK16" s="33"/>
      <c r="DGL16" s="33"/>
      <c r="DGM16" s="33"/>
      <c r="DGN16" s="33"/>
      <c r="DGO16" s="33"/>
      <c r="DGP16" s="33"/>
      <c r="DGQ16" s="33"/>
      <c r="DGR16" s="33"/>
      <c r="DGS16" s="33"/>
      <c r="DGT16" s="33"/>
      <c r="DGU16" s="33"/>
      <c r="DGV16" s="33"/>
      <c r="DGW16" s="33"/>
      <c r="DGX16" s="33"/>
      <c r="DGY16" s="33"/>
      <c r="DGZ16" s="33"/>
      <c r="DHA16" s="33"/>
      <c r="DHB16" s="33"/>
      <c r="DHC16" s="33"/>
      <c r="DHD16" s="33"/>
      <c r="DHE16" s="33"/>
      <c r="DHF16" s="33"/>
      <c r="DHG16" s="33"/>
      <c r="DHH16" s="33"/>
      <c r="DHI16" s="33"/>
      <c r="DHJ16" s="33"/>
      <c r="DHK16" s="33"/>
      <c r="DHL16" s="33"/>
      <c r="DHM16" s="33"/>
      <c r="DHN16" s="33"/>
      <c r="DHO16" s="33"/>
      <c r="DHP16" s="33"/>
      <c r="DHQ16" s="33"/>
      <c r="DHR16" s="33"/>
      <c r="DHS16" s="33"/>
      <c r="DHT16" s="33"/>
      <c r="DHU16" s="33"/>
      <c r="DHV16" s="33"/>
    </row>
    <row r="17" spans="1:2934" s="32" customFormat="1" ht="24" customHeight="1" x14ac:dyDescent="0.35">
      <c r="A17" s="40">
        <v>13</v>
      </c>
      <c r="B17" s="110"/>
      <c r="C17" s="110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7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41">
        <f t="shared" si="2"/>
        <v>0</v>
      </c>
      <c r="AJ17" s="31">
        <v>44542</v>
      </c>
      <c r="AK17" s="19"/>
      <c r="AL17" s="95"/>
      <c r="AM17" s="22">
        <f>AI17*(AL6-10)</f>
        <v>0</v>
      </c>
      <c r="AN17" s="49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hidden="1" customHeight="1" x14ac:dyDescent="0.35">
      <c r="A18" s="40">
        <v>14</v>
      </c>
      <c r="B18" s="110"/>
      <c r="C18" s="110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7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41">
        <f t="shared" si="2"/>
        <v>0</v>
      </c>
      <c r="AJ18" s="31">
        <v>44543</v>
      </c>
      <c r="AK18" s="19"/>
      <c r="AL18" s="95"/>
      <c r="AM18" s="22">
        <f>AI18*(AL6-10)</f>
        <v>0</v>
      </c>
      <c r="AN18" s="49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5" customFormat="1" ht="24" customHeight="1" x14ac:dyDescent="0.35">
      <c r="A19" s="40">
        <v>15</v>
      </c>
      <c r="B19" s="110"/>
      <c r="C19" s="110"/>
      <c r="D19" s="86"/>
      <c r="E19" s="86"/>
      <c r="F19" s="86"/>
      <c r="G19" s="86"/>
      <c r="H19" s="86"/>
      <c r="I19" s="86"/>
      <c r="J19" s="86"/>
      <c r="K19" s="86"/>
      <c r="L19" s="86"/>
      <c r="M19" s="86"/>
      <c r="N19" s="87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41">
        <f t="shared" si="2"/>
        <v>0</v>
      </c>
      <c r="AJ19" s="31">
        <v>44544</v>
      </c>
      <c r="AK19" s="37"/>
      <c r="AL19" s="96"/>
      <c r="AM19" s="22">
        <f>AI19*(AL6-10)</f>
        <v>0</v>
      </c>
      <c r="AN19" s="49">
        <f t="shared" si="1"/>
        <v>0</v>
      </c>
      <c r="AO19" s="36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  <c r="GS19" s="34"/>
      <c r="GT19" s="34"/>
      <c r="GU19" s="34"/>
      <c r="GV19" s="34"/>
      <c r="GW19" s="34"/>
      <c r="GX19" s="34"/>
      <c r="GY19" s="34"/>
      <c r="GZ19" s="34"/>
      <c r="HA19" s="34"/>
      <c r="HB19" s="34"/>
      <c r="HC19" s="34"/>
      <c r="HD19" s="34"/>
      <c r="HE19" s="34"/>
      <c r="HF19" s="34"/>
      <c r="HG19" s="34"/>
      <c r="HH19" s="34"/>
      <c r="HI19" s="34"/>
      <c r="HJ19" s="34"/>
      <c r="HK19" s="34"/>
      <c r="HL19" s="34"/>
      <c r="HM19" s="34"/>
      <c r="HN19" s="34"/>
      <c r="HO19" s="34"/>
      <c r="HP19" s="34"/>
      <c r="HQ19" s="34"/>
      <c r="HR19" s="34"/>
      <c r="HS19" s="34"/>
      <c r="HT19" s="34"/>
      <c r="HU19" s="34"/>
      <c r="HV19" s="34"/>
      <c r="HW19" s="34"/>
      <c r="HX19" s="34"/>
      <c r="HY19" s="34"/>
      <c r="HZ19" s="34"/>
      <c r="IA19" s="34"/>
      <c r="IB19" s="34"/>
      <c r="IC19" s="34"/>
      <c r="ID19" s="34"/>
      <c r="IE19" s="34"/>
      <c r="IF19" s="34"/>
      <c r="IG19" s="34"/>
      <c r="IH19" s="34"/>
      <c r="II19" s="34"/>
      <c r="IJ19" s="34"/>
      <c r="IK19" s="34"/>
      <c r="IL19" s="34"/>
      <c r="IM19" s="34"/>
      <c r="IN19" s="34"/>
      <c r="IO19" s="34"/>
      <c r="IP19" s="34"/>
      <c r="IQ19" s="34"/>
      <c r="IR19" s="34"/>
      <c r="IS19" s="34"/>
      <c r="IT19" s="34"/>
      <c r="IU19" s="34"/>
      <c r="IV19" s="34"/>
      <c r="IW19" s="34"/>
      <c r="IX19" s="34"/>
      <c r="IY19" s="34"/>
      <c r="IZ19" s="34"/>
      <c r="JA19" s="34"/>
      <c r="JB19" s="34"/>
      <c r="JC19" s="34"/>
      <c r="JD19" s="34"/>
      <c r="JE19" s="34"/>
      <c r="JF19" s="34"/>
      <c r="JG19" s="34"/>
      <c r="JH19" s="34"/>
      <c r="JI19" s="34"/>
      <c r="JJ19" s="34"/>
      <c r="JK19" s="34"/>
      <c r="JL19" s="34"/>
      <c r="JM19" s="34"/>
      <c r="JN19" s="34"/>
      <c r="JO19" s="34"/>
      <c r="JP19" s="34"/>
      <c r="JQ19" s="34"/>
      <c r="JR19" s="34"/>
      <c r="JS19" s="34"/>
      <c r="JT19" s="34"/>
      <c r="JU19" s="34"/>
      <c r="JV19" s="34"/>
      <c r="JW19" s="34"/>
      <c r="JX19" s="34"/>
      <c r="JY19" s="34"/>
      <c r="JZ19" s="34"/>
      <c r="KA19" s="34"/>
      <c r="KB19" s="34"/>
      <c r="KC19" s="34"/>
      <c r="KD19" s="34"/>
      <c r="KE19" s="34"/>
      <c r="KF19" s="34"/>
      <c r="KG19" s="34"/>
      <c r="KH19" s="34"/>
      <c r="KI19" s="34"/>
      <c r="KJ19" s="34"/>
      <c r="KK19" s="34"/>
      <c r="KL19" s="34"/>
      <c r="KM19" s="34"/>
      <c r="KN19" s="34"/>
      <c r="KO19" s="34"/>
      <c r="KP19" s="34"/>
      <c r="KQ19" s="34"/>
      <c r="KR19" s="34"/>
      <c r="KS19" s="34"/>
      <c r="KT19" s="34"/>
      <c r="KU19" s="34"/>
      <c r="KV19" s="34"/>
      <c r="KW19" s="34"/>
      <c r="KX19" s="34"/>
      <c r="KY19" s="34"/>
      <c r="KZ19" s="34"/>
      <c r="LA19" s="34"/>
      <c r="LB19" s="34"/>
      <c r="LC19" s="34"/>
      <c r="LD19" s="34"/>
      <c r="LE19" s="34"/>
      <c r="LF19" s="34"/>
      <c r="LG19" s="34"/>
      <c r="LH19" s="34"/>
      <c r="LI19" s="34"/>
      <c r="LJ19" s="34"/>
      <c r="LK19" s="34"/>
      <c r="LL19" s="34"/>
      <c r="LM19" s="34"/>
      <c r="LN19" s="34"/>
      <c r="LO19" s="34"/>
      <c r="LP19" s="34"/>
      <c r="LQ19" s="34"/>
      <c r="LR19" s="34"/>
      <c r="LS19" s="34"/>
      <c r="LT19" s="34"/>
      <c r="LU19" s="34"/>
      <c r="LV19" s="34"/>
      <c r="LW19" s="34"/>
      <c r="LX19" s="34"/>
      <c r="LY19" s="34"/>
      <c r="LZ19" s="34"/>
      <c r="MA19" s="34"/>
      <c r="MB19" s="34"/>
      <c r="MC19" s="34"/>
      <c r="MD19" s="34"/>
      <c r="ME19" s="34"/>
      <c r="MF19" s="34"/>
      <c r="MG19" s="34"/>
      <c r="MH19" s="34"/>
      <c r="MI19" s="34"/>
      <c r="MJ19" s="34"/>
      <c r="MK19" s="34"/>
      <c r="ML19" s="34"/>
      <c r="MM19" s="34"/>
      <c r="MN19" s="34"/>
      <c r="MO19" s="34"/>
      <c r="MP19" s="34"/>
      <c r="MQ19" s="34"/>
      <c r="MR19" s="34"/>
      <c r="MS19" s="34"/>
      <c r="MT19" s="34"/>
      <c r="MU19" s="34"/>
      <c r="MV19" s="34"/>
      <c r="MW19" s="34"/>
      <c r="MX19" s="34"/>
      <c r="MY19" s="34"/>
      <c r="MZ19" s="34"/>
      <c r="NA19" s="34"/>
      <c r="NB19" s="34"/>
      <c r="NC19" s="34"/>
      <c r="ND19" s="34"/>
      <c r="NE19" s="34"/>
      <c r="NF19" s="34"/>
      <c r="NG19" s="34"/>
      <c r="NH19" s="34"/>
      <c r="NI19" s="34"/>
      <c r="NJ19" s="34"/>
      <c r="NK19" s="34"/>
      <c r="NL19" s="34"/>
      <c r="NM19" s="34"/>
      <c r="NN19" s="34"/>
      <c r="NO19" s="34"/>
      <c r="NP19" s="34"/>
      <c r="NQ19" s="34"/>
      <c r="NR19" s="34"/>
      <c r="NS19" s="34"/>
      <c r="NT19" s="34"/>
      <c r="NU19" s="34"/>
      <c r="NV19" s="34"/>
      <c r="NW19" s="34"/>
      <c r="NX19" s="34"/>
      <c r="NY19" s="34"/>
      <c r="NZ19" s="34"/>
      <c r="OA19" s="34"/>
      <c r="OB19" s="34"/>
      <c r="OC19" s="34"/>
      <c r="OD19" s="34"/>
      <c r="OE19" s="34"/>
      <c r="OF19" s="34"/>
      <c r="OG19" s="34"/>
      <c r="OH19" s="34"/>
      <c r="OI19" s="34"/>
      <c r="OJ19" s="34"/>
      <c r="OK19" s="34"/>
      <c r="OL19" s="34"/>
      <c r="OM19" s="34"/>
      <c r="ON19" s="34"/>
      <c r="OO19" s="34"/>
      <c r="OP19" s="34"/>
      <c r="OQ19" s="34"/>
      <c r="OR19" s="34"/>
      <c r="OS19" s="34"/>
      <c r="OT19" s="34"/>
      <c r="OU19" s="34"/>
      <c r="OV19" s="34"/>
      <c r="OW19" s="34"/>
      <c r="OX19" s="34"/>
      <c r="OY19" s="34"/>
      <c r="OZ19" s="34"/>
      <c r="PA19" s="34"/>
      <c r="PB19" s="34"/>
      <c r="PC19" s="34"/>
      <c r="PD19" s="34"/>
      <c r="PE19" s="34"/>
      <c r="PF19" s="34"/>
      <c r="PG19" s="34"/>
      <c r="PH19" s="34"/>
      <c r="PI19" s="34"/>
      <c r="PJ19" s="34"/>
      <c r="PK19" s="34"/>
      <c r="PL19" s="34"/>
      <c r="PM19" s="34"/>
      <c r="PN19" s="34"/>
      <c r="PO19" s="34"/>
      <c r="PP19" s="34"/>
      <c r="PQ19" s="34"/>
      <c r="PR19" s="34"/>
      <c r="PS19" s="34"/>
      <c r="PT19" s="34"/>
      <c r="PU19" s="34"/>
      <c r="PV19" s="34"/>
      <c r="PW19" s="34"/>
      <c r="PX19" s="34"/>
      <c r="PY19" s="34"/>
      <c r="PZ19" s="34"/>
      <c r="QA19" s="34"/>
      <c r="QB19" s="34"/>
      <c r="QC19" s="34"/>
      <c r="QD19" s="34"/>
      <c r="QE19" s="34"/>
      <c r="QF19" s="34"/>
      <c r="QG19" s="34"/>
      <c r="QH19" s="34"/>
      <c r="QI19" s="34"/>
      <c r="QJ19" s="34"/>
      <c r="QK19" s="34"/>
      <c r="QL19" s="34"/>
      <c r="QM19" s="34"/>
      <c r="QN19" s="34"/>
      <c r="QO19" s="34"/>
      <c r="QP19" s="34"/>
      <c r="QQ19" s="34"/>
      <c r="QR19" s="34"/>
      <c r="QS19" s="34"/>
      <c r="QT19" s="34"/>
      <c r="QU19" s="34"/>
      <c r="QV19" s="34"/>
      <c r="QW19" s="34"/>
      <c r="QX19" s="34"/>
      <c r="QY19" s="34"/>
      <c r="QZ19" s="34"/>
      <c r="RA19" s="34"/>
      <c r="RB19" s="34"/>
      <c r="RC19" s="34"/>
      <c r="RD19" s="34"/>
      <c r="RE19" s="34"/>
      <c r="RF19" s="34"/>
      <c r="RG19" s="34"/>
      <c r="RH19" s="34"/>
      <c r="RI19" s="34"/>
      <c r="RJ19" s="34"/>
      <c r="RK19" s="34"/>
      <c r="RL19" s="34"/>
      <c r="RM19" s="34"/>
      <c r="RN19" s="34"/>
      <c r="RO19" s="34"/>
      <c r="RP19" s="34"/>
      <c r="RQ19" s="34"/>
      <c r="RR19" s="34"/>
      <c r="RS19" s="34"/>
      <c r="RT19" s="34"/>
      <c r="RU19" s="34"/>
      <c r="RV19" s="34"/>
      <c r="RW19" s="34"/>
      <c r="RX19" s="34"/>
      <c r="RY19" s="34"/>
      <c r="RZ19" s="34"/>
      <c r="SA19" s="34"/>
      <c r="SB19" s="34"/>
      <c r="SC19" s="34"/>
      <c r="SD19" s="34"/>
      <c r="SE19" s="34"/>
      <c r="SF19" s="34"/>
      <c r="SG19" s="34"/>
      <c r="SH19" s="34"/>
      <c r="SI19" s="34"/>
      <c r="SJ19" s="34"/>
      <c r="SK19" s="34"/>
      <c r="SL19" s="34"/>
      <c r="SM19" s="34"/>
      <c r="SN19" s="34"/>
      <c r="SO19" s="34"/>
      <c r="SP19" s="34"/>
      <c r="SQ19" s="34"/>
      <c r="SR19" s="34"/>
      <c r="SS19" s="34"/>
      <c r="ST19" s="34"/>
      <c r="SU19" s="34"/>
      <c r="SV19" s="34"/>
      <c r="SW19" s="34"/>
      <c r="SX19" s="34"/>
      <c r="SY19" s="34"/>
      <c r="SZ19" s="34"/>
      <c r="TA19" s="34"/>
      <c r="TB19" s="34"/>
      <c r="TC19" s="34"/>
      <c r="TD19" s="34"/>
      <c r="TE19" s="34"/>
      <c r="TF19" s="34"/>
      <c r="TG19" s="34"/>
      <c r="TH19" s="34"/>
      <c r="TI19" s="34"/>
      <c r="TJ19" s="34"/>
      <c r="TK19" s="34"/>
      <c r="TL19" s="34"/>
      <c r="TM19" s="34"/>
      <c r="TN19" s="34"/>
      <c r="TO19" s="34"/>
      <c r="TP19" s="34"/>
      <c r="TQ19" s="34"/>
      <c r="TR19" s="34"/>
      <c r="TS19" s="34"/>
      <c r="TT19" s="34"/>
      <c r="TU19" s="34"/>
      <c r="TV19" s="34"/>
      <c r="TW19" s="34"/>
      <c r="TX19" s="34"/>
      <c r="TY19" s="34"/>
      <c r="TZ19" s="34"/>
      <c r="UA19" s="34"/>
      <c r="UB19" s="34"/>
      <c r="UC19" s="34"/>
      <c r="UD19" s="34"/>
      <c r="UE19" s="34"/>
      <c r="UF19" s="34"/>
      <c r="UG19" s="34"/>
      <c r="UH19" s="34"/>
      <c r="UI19" s="34"/>
      <c r="UJ19" s="34"/>
      <c r="UK19" s="34"/>
      <c r="UL19" s="34"/>
      <c r="UM19" s="34"/>
      <c r="UN19" s="34"/>
      <c r="UO19" s="34"/>
      <c r="UP19" s="34"/>
      <c r="UQ19" s="34"/>
      <c r="UR19" s="34"/>
      <c r="US19" s="34"/>
      <c r="UT19" s="34"/>
      <c r="UU19" s="34"/>
      <c r="UV19" s="34"/>
      <c r="UW19" s="34"/>
      <c r="UX19" s="34"/>
      <c r="UY19" s="34"/>
      <c r="UZ19" s="34"/>
      <c r="VA19" s="34"/>
      <c r="VB19" s="34"/>
      <c r="VC19" s="34"/>
      <c r="VD19" s="34"/>
      <c r="VE19" s="34"/>
      <c r="VF19" s="34"/>
      <c r="VG19" s="34"/>
      <c r="VH19" s="34"/>
      <c r="VI19" s="34"/>
      <c r="VJ19" s="34"/>
      <c r="VK19" s="34"/>
      <c r="VL19" s="34"/>
      <c r="VM19" s="34"/>
      <c r="VN19" s="34"/>
      <c r="VO19" s="34"/>
      <c r="VP19" s="34"/>
      <c r="VQ19" s="34"/>
      <c r="VR19" s="34"/>
      <c r="VS19" s="34"/>
      <c r="VT19" s="34"/>
      <c r="VU19" s="34"/>
      <c r="VV19" s="34"/>
      <c r="VW19" s="34"/>
      <c r="VX19" s="34"/>
      <c r="VY19" s="34"/>
      <c r="VZ19" s="34"/>
      <c r="WA19" s="34"/>
      <c r="WB19" s="34"/>
      <c r="WC19" s="34"/>
      <c r="WD19" s="34"/>
      <c r="WE19" s="34"/>
      <c r="WF19" s="34"/>
      <c r="WG19" s="34"/>
      <c r="WH19" s="34"/>
      <c r="WI19" s="34"/>
      <c r="WJ19" s="34"/>
      <c r="WK19" s="34"/>
      <c r="WL19" s="34"/>
      <c r="WM19" s="34"/>
      <c r="WN19" s="34"/>
      <c r="WO19" s="34"/>
      <c r="WP19" s="34"/>
      <c r="WQ19" s="34"/>
      <c r="WR19" s="34"/>
      <c r="WS19" s="34"/>
      <c r="WT19" s="34"/>
      <c r="WU19" s="34"/>
      <c r="WV19" s="34"/>
      <c r="WW19" s="34"/>
      <c r="WX19" s="34"/>
      <c r="WY19" s="34"/>
      <c r="WZ19" s="34"/>
      <c r="XA19" s="34"/>
      <c r="XB19" s="34"/>
      <c r="XC19" s="34"/>
      <c r="XD19" s="34"/>
      <c r="XE19" s="34"/>
      <c r="XF19" s="34"/>
      <c r="XG19" s="34"/>
      <c r="XH19" s="34"/>
      <c r="XI19" s="34"/>
      <c r="XJ19" s="34"/>
      <c r="XK19" s="34"/>
      <c r="XL19" s="34"/>
      <c r="XM19" s="34"/>
      <c r="XN19" s="34"/>
      <c r="XO19" s="34"/>
      <c r="XP19" s="34"/>
      <c r="XQ19" s="34"/>
      <c r="XR19" s="34"/>
      <c r="XS19" s="34"/>
      <c r="XT19" s="34"/>
      <c r="XU19" s="34"/>
      <c r="XV19" s="34"/>
      <c r="XW19" s="34"/>
      <c r="XX19" s="34"/>
      <c r="XY19" s="34"/>
      <c r="XZ19" s="34"/>
      <c r="YA19" s="34"/>
      <c r="YB19" s="34"/>
      <c r="YC19" s="34"/>
      <c r="YD19" s="34"/>
      <c r="YE19" s="34"/>
      <c r="YF19" s="34"/>
      <c r="YG19" s="34"/>
      <c r="YH19" s="34"/>
      <c r="YI19" s="34"/>
      <c r="YJ19" s="34"/>
      <c r="YK19" s="34"/>
      <c r="YL19" s="34"/>
      <c r="YM19" s="34"/>
      <c r="YN19" s="34"/>
      <c r="YO19" s="34"/>
      <c r="YP19" s="34"/>
      <c r="YQ19" s="34"/>
      <c r="YR19" s="34"/>
      <c r="YS19" s="34"/>
      <c r="YT19" s="34"/>
      <c r="YU19" s="34"/>
      <c r="YV19" s="34"/>
      <c r="YW19" s="34"/>
      <c r="YX19" s="34"/>
      <c r="YY19" s="34"/>
      <c r="YZ19" s="34"/>
      <c r="ZA19" s="34"/>
      <c r="ZB19" s="34"/>
      <c r="ZC19" s="34"/>
      <c r="ZD19" s="34"/>
      <c r="ZE19" s="34"/>
      <c r="ZF19" s="34"/>
      <c r="ZG19" s="34"/>
      <c r="ZH19" s="34"/>
      <c r="ZI19" s="34"/>
      <c r="ZJ19" s="34"/>
      <c r="ZK19" s="34"/>
      <c r="ZL19" s="34"/>
      <c r="ZM19" s="34"/>
      <c r="ZN19" s="34"/>
      <c r="ZO19" s="34"/>
      <c r="ZP19" s="34"/>
      <c r="ZQ19" s="34"/>
      <c r="ZR19" s="34"/>
      <c r="ZS19" s="34"/>
      <c r="ZT19" s="34"/>
      <c r="ZU19" s="34"/>
      <c r="ZV19" s="34"/>
      <c r="ZW19" s="34"/>
      <c r="ZX19" s="34"/>
      <c r="ZY19" s="34"/>
      <c r="ZZ19" s="34"/>
      <c r="AAA19" s="34"/>
      <c r="AAB19" s="34"/>
      <c r="AAC19" s="34"/>
      <c r="AAD19" s="34"/>
      <c r="AAE19" s="34"/>
      <c r="AAF19" s="34"/>
      <c r="AAG19" s="34"/>
      <c r="AAH19" s="34"/>
      <c r="AAI19" s="34"/>
      <c r="AAJ19" s="34"/>
      <c r="AAK19" s="34"/>
      <c r="AAL19" s="34"/>
      <c r="AAM19" s="34"/>
      <c r="AAN19" s="34"/>
      <c r="AAO19" s="34"/>
      <c r="AAP19" s="34"/>
      <c r="AAQ19" s="34"/>
      <c r="AAR19" s="34"/>
      <c r="AAS19" s="34"/>
      <c r="AAT19" s="34"/>
      <c r="AAU19" s="34"/>
      <c r="AAV19" s="34"/>
      <c r="AAW19" s="34"/>
      <c r="AAX19" s="34"/>
      <c r="AAY19" s="34"/>
      <c r="AAZ19" s="34"/>
      <c r="ABA19" s="34"/>
      <c r="ABB19" s="34"/>
      <c r="ABC19" s="34"/>
      <c r="ABD19" s="34"/>
      <c r="ABE19" s="34"/>
      <c r="ABF19" s="34"/>
      <c r="ABG19" s="34"/>
      <c r="ABH19" s="34"/>
      <c r="ABI19" s="34"/>
      <c r="ABJ19" s="34"/>
      <c r="ABK19" s="34"/>
      <c r="ABL19" s="34"/>
      <c r="ABM19" s="34"/>
      <c r="ABN19" s="34"/>
      <c r="ABO19" s="34"/>
      <c r="ABP19" s="34"/>
      <c r="ABQ19" s="34"/>
      <c r="ABR19" s="34"/>
      <c r="ABS19" s="34"/>
      <c r="ABT19" s="34"/>
      <c r="ABU19" s="34"/>
      <c r="ABV19" s="34"/>
      <c r="ABW19" s="34"/>
      <c r="ABX19" s="34"/>
      <c r="ABY19" s="34"/>
      <c r="ABZ19" s="34"/>
      <c r="ACA19" s="34"/>
      <c r="ACB19" s="34"/>
      <c r="ACC19" s="34"/>
      <c r="ACD19" s="34"/>
      <c r="ACE19" s="34"/>
      <c r="ACF19" s="34"/>
      <c r="ACG19" s="34"/>
      <c r="ACH19" s="34"/>
      <c r="ACI19" s="34"/>
      <c r="ACJ19" s="34"/>
      <c r="ACK19" s="34"/>
      <c r="ACL19" s="34"/>
      <c r="ACM19" s="34"/>
      <c r="ACN19" s="34"/>
      <c r="ACO19" s="34"/>
      <c r="ACP19" s="34"/>
      <c r="ACQ19" s="34"/>
      <c r="ACR19" s="34"/>
      <c r="ACS19" s="34"/>
      <c r="ACT19" s="34"/>
      <c r="ACU19" s="34"/>
      <c r="ACV19" s="34"/>
      <c r="ACW19" s="34"/>
      <c r="ACX19" s="34"/>
      <c r="ACY19" s="34"/>
      <c r="ACZ19" s="34"/>
      <c r="ADA19" s="34"/>
      <c r="ADB19" s="34"/>
      <c r="ADC19" s="34"/>
      <c r="ADD19" s="34"/>
      <c r="ADE19" s="34"/>
      <c r="ADF19" s="34"/>
      <c r="ADG19" s="34"/>
      <c r="ADH19" s="34"/>
      <c r="ADI19" s="34"/>
      <c r="ADJ19" s="34"/>
      <c r="ADK19" s="34"/>
      <c r="ADL19" s="34"/>
      <c r="ADM19" s="34"/>
      <c r="ADN19" s="34"/>
      <c r="ADO19" s="34"/>
      <c r="ADP19" s="34"/>
      <c r="ADQ19" s="34"/>
      <c r="ADR19" s="34"/>
      <c r="ADS19" s="34"/>
      <c r="ADT19" s="34"/>
      <c r="ADU19" s="34"/>
      <c r="ADV19" s="34"/>
      <c r="ADW19" s="34"/>
      <c r="ADX19" s="34"/>
      <c r="ADY19" s="34"/>
      <c r="ADZ19" s="34"/>
      <c r="AEA19" s="34"/>
      <c r="AEB19" s="34"/>
      <c r="AEC19" s="34"/>
      <c r="AED19" s="34"/>
      <c r="AEE19" s="34"/>
      <c r="AEF19" s="34"/>
      <c r="AEG19" s="34"/>
      <c r="AEH19" s="34"/>
      <c r="AEI19" s="34"/>
      <c r="AEJ19" s="34"/>
      <c r="AEK19" s="34"/>
      <c r="AEL19" s="34"/>
      <c r="AEM19" s="34"/>
      <c r="AEN19" s="34"/>
      <c r="AEO19" s="34"/>
      <c r="AEP19" s="34"/>
      <c r="AEQ19" s="34"/>
      <c r="AER19" s="34"/>
      <c r="AES19" s="34"/>
      <c r="AET19" s="34"/>
      <c r="AEU19" s="34"/>
      <c r="AEV19" s="34"/>
      <c r="AEW19" s="34"/>
      <c r="AEX19" s="34"/>
      <c r="AEY19" s="34"/>
      <c r="AEZ19" s="34"/>
      <c r="AFA19" s="34"/>
      <c r="AFB19" s="34"/>
      <c r="AFC19" s="34"/>
      <c r="AFD19" s="34"/>
      <c r="AFE19" s="34"/>
      <c r="AFF19" s="34"/>
      <c r="AFG19" s="34"/>
      <c r="AFH19" s="34"/>
      <c r="AFI19" s="34"/>
      <c r="AFJ19" s="34"/>
      <c r="AFK19" s="34"/>
      <c r="AFL19" s="34"/>
      <c r="AFM19" s="34"/>
      <c r="AFN19" s="34"/>
      <c r="AFO19" s="34"/>
      <c r="AFP19" s="34"/>
      <c r="AFQ19" s="34"/>
      <c r="AFR19" s="34"/>
      <c r="AFS19" s="34"/>
      <c r="AFT19" s="34"/>
      <c r="AFU19" s="34"/>
      <c r="AFV19" s="34"/>
      <c r="AFW19" s="34"/>
      <c r="AFX19" s="34"/>
      <c r="AFY19" s="34"/>
      <c r="AFZ19" s="34"/>
      <c r="AGA19" s="34"/>
      <c r="AGB19" s="34"/>
      <c r="AGC19" s="34"/>
      <c r="AGD19" s="34"/>
      <c r="AGE19" s="34"/>
      <c r="AGF19" s="34"/>
      <c r="AGG19" s="34"/>
      <c r="AGH19" s="34"/>
      <c r="AGI19" s="34"/>
      <c r="AGJ19" s="34"/>
      <c r="AGK19" s="34"/>
      <c r="AGL19" s="34"/>
      <c r="AGM19" s="34"/>
      <c r="AGN19" s="34"/>
      <c r="AGO19" s="34"/>
      <c r="AGP19" s="34"/>
      <c r="AGQ19" s="34"/>
      <c r="AGR19" s="34"/>
      <c r="AGS19" s="34"/>
      <c r="AGT19" s="34"/>
      <c r="AGU19" s="34"/>
      <c r="AGV19" s="34"/>
      <c r="AGW19" s="34"/>
      <c r="AGX19" s="34"/>
      <c r="AGY19" s="34"/>
      <c r="AGZ19" s="34"/>
      <c r="AHA19" s="34"/>
      <c r="AHB19" s="34"/>
      <c r="AHC19" s="34"/>
      <c r="AHD19" s="34"/>
      <c r="AHE19" s="34"/>
      <c r="AHF19" s="34"/>
      <c r="AHG19" s="34"/>
      <c r="AHH19" s="34"/>
      <c r="AHI19" s="34"/>
      <c r="AHJ19" s="34"/>
      <c r="AHK19" s="34"/>
      <c r="AHL19" s="34"/>
      <c r="AHM19" s="34"/>
      <c r="AHN19" s="34"/>
      <c r="AHO19" s="34"/>
      <c r="AHP19" s="34"/>
      <c r="AHQ19" s="34"/>
      <c r="AHR19" s="34"/>
      <c r="AHS19" s="34"/>
      <c r="AHT19" s="34"/>
      <c r="AHU19" s="34"/>
      <c r="AHV19" s="34"/>
      <c r="AHW19" s="34"/>
      <c r="AHX19" s="34"/>
      <c r="AHY19" s="34"/>
      <c r="AHZ19" s="34"/>
      <c r="AIA19" s="34"/>
      <c r="AIB19" s="34"/>
      <c r="AIC19" s="34"/>
      <c r="AID19" s="34"/>
      <c r="AIE19" s="34"/>
      <c r="AIF19" s="34"/>
      <c r="AIG19" s="34"/>
      <c r="AIH19" s="34"/>
      <c r="AII19" s="34"/>
      <c r="AIJ19" s="34"/>
      <c r="AIK19" s="34"/>
      <c r="AIL19" s="34"/>
      <c r="AIM19" s="34"/>
      <c r="AIN19" s="34"/>
      <c r="AIO19" s="34"/>
      <c r="AIP19" s="34"/>
      <c r="AIQ19" s="34"/>
      <c r="AIR19" s="34"/>
      <c r="AIS19" s="34"/>
      <c r="AIT19" s="34"/>
      <c r="AIU19" s="34"/>
      <c r="AIV19" s="34"/>
      <c r="AIW19" s="34"/>
      <c r="AIX19" s="34"/>
      <c r="AIY19" s="34"/>
      <c r="AIZ19" s="34"/>
      <c r="AJA19" s="34"/>
      <c r="AJB19" s="34"/>
      <c r="AJC19" s="34"/>
      <c r="AJD19" s="34"/>
      <c r="AJE19" s="34"/>
      <c r="AJF19" s="34"/>
      <c r="AJG19" s="34"/>
      <c r="AJH19" s="34"/>
      <c r="AJI19" s="34"/>
      <c r="AJJ19" s="34"/>
      <c r="AJK19" s="34"/>
      <c r="AJL19" s="34"/>
      <c r="AJM19" s="34"/>
      <c r="AJN19" s="34"/>
      <c r="AJO19" s="34"/>
      <c r="AJP19" s="34"/>
      <c r="AJQ19" s="34"/>
      <c r="AJR19" s="34"/>
      <c r="AJS19" s="34"/>
      <c r="AJT19" s="34"/>
      <c r="AJU19" s="34"/>
      <c r="AJV19" s="34"/>
      <c r="AJW19" s="34"/>
      <c r="AJX19" s="34"/>
      <c r="AJY19" s="34"/>
      <c r="AJZ19" s="34"/>
      <c r="AKA19" s="34"/>
      <c r="AKB19" s="34"/>
      <c r="AKC19" s="34"/>
      <c r="AKD19" s="34"/>
      <c r="AKE19" s="34"/>
      <c r="AKF19" s="34"/>
      <c r="AKG19" s="34"/>
      <c r="AKH19" s="34"/>
      <c r="AKI19" s="34"/>
      <c r="AKJ19" s="34"/>
      <c r="AKK19" s="34"/>
      <c r="AKL19" s="34"/>
      <c r="AKM19" s="34"/>
      <c r="AKN19" s="34"/>
      <c r="AKO19" s="34"/>
      <c r="AKP19" s="34"/>
      <c r="AKQ19" s="34"/>
      <c r="AKR19" s="34"/>
      <c r="AKS19" s="34"/>
      <c r="AKT19" s="34"/>
      <c r="AKU19" s="34"/>
      <c r="AKV19" s="34"/>
      <c r="AKW19" s="34"/>
      <c r="AKX19" s="34"/>
      <c r="AKY19" s="34"/>
      <c r="AKZ19" s="34"/>
      <c r="ALA19" s="34"/>
      <c r="ALB19" s="34"/>
      <c r="ALC19" s="34"/>
      <c r="ALD19" s="34"/>
      <c r="ALE19" s="34"/>
      <c r="ALF19" s="34"/>
      <c r="ALG19" s="34"/>
      <c r="ALH19" s="34"/>
      <c r="ALI19" s="34"/>
      <c r="ALJ19" s="34"/>
      <c r="ALK19" s="34"/>
      <c r="ALL19" s="34"/>
      <c r="ALM19" s="34"/>
      <c r="ALN19" s="34"/>
      <c r="ALO19" s="34"/>
      <c r="ALP19" s="34"/>
      <c r="ALQ19" s="34"/>
      <c r="ALR19" s="34"/>
      <c r="ALS19" s="34"/>
      <c r="ALT19" s="34"/>
      <c r="ALU19" s="34"/>
      <c r="ALV19" s="34"/>
      <c r="ALW19" s="34"/>
      <c r="ALX19" s="34"/>
      <c r="ALY19" s="34"/>
      <c r="ALZ19" s="34"/>
      <c r="AMA19" s="34"/>
      <c r="AMB19" s="34"/>
      <c r="AMC19" s="34"/>
      <c r="AMD19" s="34"/>
      <c r="AME19" s="34"/>
      <c r="AMF19" s="34"/>
      <c r="AMG19" s="34"/>
      <c r="AMH19" s="34"/>
      <c r="AMI19" s="34"/>
      <c r="AMJ19" s="34"/>
      <c r="AMK19" s="34"/>
      <c r="AML19" s="34"/>
      <c r="AMM19" s="34"/>
      <c r="AMN19" s="34"/>
      <c r="AMO19" s="34"/>
      <c r="AMP19" s="34"/>
      <c r="AMQ19" s="34"/>
      <c r="AMR19" s="34"/>
      <c r="AMS19" s="34"/>
      <c r="AMT19" s="34"/>
      <c r="AMU19" s="34"/>
      <c r="AMV19" s="34"/>
      <c r="AMW19" s="34"/>
      <c r="AMX19" s="34"/>
      <c r="AMY19" s="34"/>
      <c r="AMZ19" s="34"/>
      <c r="ANA19" s="34"/>
      <c r="ANB19" s="34"/>
      <c r="ANC19" s="34"/>
      <c r="AND19" s="34"/>
      <c r="ANE19" s="34"/>
      <c r="ANF19" s="34"/>
      <c r="ANG19" s="34"/>
      <c r="ANH19" s="34"/>
      <c r="ANI19" s="34"/>
      <c r="ANJ19" s="34"/>
      <c r="ANK19" s="34"/>
      <c r="ANL19" s="34"/>
      <c r="ANM19" s="34"/>
      <c r="ANN19" s="34"/>
      <c r="ANO19" s="34"/>
      <c r="ANP19" s="34"/>
      <c r="ANQ19" s="34"/>
      <c r="ANR19" s="34"/>
      <c r="ANS19" s="34"/>
      <c r="ANT19" s="34"/>
      <c r="ANU19" s="34"/>
      <c r="ANV19" s="34"/>
      <c r="ANW19" s="34"/>
      <c r="ANX19" s="34"/>
      <c r="ANY19" s="34"/>
      <c r="ANZ19" s="34"/>
      <c r="AOA19" s="34"/>
      <c r="AOB19" s="34"/>
      <c r="AOC19" s="34"/>
      <c r="AOD19" s="34"/>
      <c r="AOE19" s="34"/>
      <c r="AOF19" s="34"/>
      <c r="AOG19" s="34"/>
      <c r="AOH19" s="34"/>
      <c r="AOI19" s="34"/>
      <c r="AOJ19" s="34"/>
      <c r="AOK19" s="34"/>
      <c r="AOL19" s="34"/>
      <c r="AOM19" s="34"/>
      <c r="AON19" s="34"/>
      <c r="AOO19" s="34"/>
      <c r="AOP19" s="34"/>
      <c r="AOQ19" s="34"/>
      <c r="AOR19" s="34"/>
      <c r="AOS19" s="34"/>
      <c r="AOT19" s="34"/>
      <c r="AOU19" s="34"/>
      <c r="AOV19" s="34"/>
      <c r="AOW19" s="34"/>
      <c r="AOX19" s="34"/>
      <c r="AOY19" s="34"/>
      <c r="AOZ19" s="34"/>
      <c r="APA19" s="34"/>
      <c r="APB19" s="34"/>
      <c r="APC19" s="34"/>
      <c r="APD19" s="34"/>
      <c r="APE19" s="34"/>
      <c r="APF19" s="34"/>
      <c r="APG19" s="34"/>
      <c r="APH19" s="34"/>
      <c r="API19" s="34"/>
      <c r="APJ19" s="34"/>
      <c r="APK19" s="34"/>
      <c r="APL19" s="34"/>
      <c r="APM19" s="34"/>
      <c r="APN19" s="34"/>
      <c r="APO19" s="34"/>
      <c r="APP19" s="34"/>
      <c r="APQ19" s="34"/>
      <c r="APR19" s="34"/>
      <c r="APS19" s="34"/>
      <c r="APT19" s="34"/>
      <c r="APU19" s="34"/>
      <c r="APV19" s="34"/>
      <c r="APW19" s="34"/>
      <c r="APX19" s="34"/>
      <c r="APY19" s="34"/>
      <c r="APZ19" s="34"/>
      <c r="AQA19" s="34"/>
      <c r="AQB19" s="34"/>
      <c r="AQC19" s="34"/>
      <c r="AQD19" s="34"/>
      <c r="AQE19" s="34"/>
      <c r="AQF19" s="34"/>
      <c r="AQG19" s="34"/>
      <c r="AQH19" s="34"/>
      <c r="AQI19" s="34"/>
      <c r="AQJ19" s="34"/>
      <c r="AQK19" s="34"/>
      <c r="AQL19" s="34"/>
      <c r="AQM19" s="34"/>
      <c r="AQN19" s="34"/>
      <c r="AQO19" s="34"/>
      <c r="AQP19" s="34"/>
      <c r="AQQ19" s="34"/>
      <c r="AQR19" s="34"/>
      <c r="AQS19" s="34"/>
      <c r="AQT19" s="34"/>
      <c r="AQU19" s="34"/>
      <c r="AQV19" s="34"/>
      <c r="AQW19" s="34"/>
      <c r="AQX19" s="34"/>
      <c r="AQY19" s="34"/>
      <c r="AQZ19" s="34"/>
      <c r="ARA19" s="34"/>
      <c r="ARB19" s="34"/>
      <c r="ARC19" s="34"/>
      <c r="ARD19" s="34"/>
      <c r="ARE19" s="34"/>
      <c r="ARF19" s="34"/>
      <c r="ARG19" s="34"/>
      <c r="ARH19" s="34"/>
      <c r="ARI19" s="34"/>
      <c r="ARJ19" s="34"/>
      <c r="ARK19" s="34"/>
      <c r="ARL19" s="34"/>
      <c r="ARM19" s="34"/>
      <c r="ARN19" s="34"/>
      <c r="ARO19" s="34"/>
      <c r="ARP19" s="34"/>
      <c r="ARQ19" s="34"/>
      <c r="ARR19" s="34"/>
      <c r="ARS19" s="34"/>
      <c r="ART19" s="34"/>
      <c r="ARU19" s="34"/>
      <c r="ARV19" s="34"/>
      <c r="ARW19" s="34"/>
      <c r="ARX19" s="34"/>
      <c r="ARY19" s="34"/>
      <c r="ARZ19" s="34"/>
      <c r="ASA19" s="34"/>
      <c r="ASB19" s="34"/>
      <c r="ASC19" s="34"/>
      <c r="ASD19" s="34"/>
      <c r="ASE19" s="34"/>
      <c r="ASF19" s="34"/>
      <c r="ASG19" s="34"/>
      <c r="ASH19" s="34"/>
      <c r="ASI19" s="34"/>
      <c r="ASJ19" s="34"/>
      <c r="ASK19" s="34"/>
      <c r="ASL19" s="34"/>
      <c r="ASM19" s="34"/>
      <c r="ASN19" s="34"/>
      <c r="ASO19" s="34"/>
      <c r="ASP19" s="34"/>
      <c r="ASQ19" s="34"/>
      <c r="ASR19" s="34"/>
      <c r="ASS19" s="34"/>
      <c r="AST19" s="34"/>
      <c r="ASU19" s="34"/>
      <c r="ASV19" s="34"/>
      <c r="ASW19" s="34"/>
      <c r="ASX19" s="34"/>
      <c r="ASY19" s="34"/>
      <c r="ASZ19" s="34"/>
      <c r="ATA19" s="34"/>
      <c r="ATB19" s="34"/>
      <c r="ATC19" s="34"/>
      <c r="ATD19" s="34"/>
      <c r="ATE19" s="34"/>
      <c r="ATF19" s="34"/>
      <c r="ATG19" s="34"/>
      <c r="ATH19" s="34"/>
      <c r="ATI19" s="34"/>
      <c r="ATJ19" s="34"/>
      <c r="ATK19" s="34"/>
      <c r="ATL19" s="34"/>
      <c r="ATM19" s="34"/>
      <c r="ATN19" s="34"/>
      <c r="ATO19" s="34"/>
      <c r="ATP19" s="34"/>
      <c r="ATQ19" s="34"/>
      <c r="ATR19" s="34"/>
      <c r="ATS19" s="34"/>
      <c r="ATT19" s="34"/>
      <c r="ATU19" s="34"/>
      <c r="ATV19" s="34"/>
      <c r="ATW19" s="34"/>
      <c r="ATX19" s="34"/>
      <c r="ATY19" s="34"/>
      <c r="ATZ19" s="34"/>
      <c r="AUA19" s="34"/>
      <c r="AUB19" s="34"/>
      <c r="AUC19" s="34"/>
      <c r="AUD19" s="34"/>
      <c r="AUE19" s="34"/>
      <c r="AUF19" s="34"/>
      <c r="AUG19" s="34"/>
      <c r="AUH19" s="34"/>
      <c r="AUI19" s="34"/>
      <c r="AUJ19" s="34"/>
      <c r="AUK19" s="34"/>
      <c r="AUL19" s="34"/>
      <c r="AUM19" s="34"/>
      <c r="AUN19" s="34"/>
      <c r="AUO19" s="34"/>
      <c r="AUP19" s="34"/>
      <c r="AUQ19" s="34"/>
      <c r="AUR19" s="34"/>
      <c r="AUS19" s="34"/>
      <c r="AUT19" s="34"/>
      <c r="AUU19" s="34"/>
      <c r="AUV19" s="34"/>
      <c r="AUW19" s="34"/>
      <c r="AUX19" s="34"/>
      <c r="AUY19" s="34"/>
      <c r="AUZ19" s="34"/>
      <c r="AVA19" s="34"/>
      <c r="AVB19" s="34"/>
      <c r="AVC19" s="34"/>
      <c r="AVD19" s="34"/>
      <c r="AVE19" s="34"/>
      <c r="AVF19" s="34"/>
      <c r="AVG19" s="34"/>
      <c r="AVH19" s="34"/>
      <c r="AVI19" s="34"/>
      <c r="AVJ19" s="34"/>
      <c r="AVK19" s="34"/>
      <c r="AVL19" s="34"/>
      <c r="AVM19" s="34"/>
      <c r="AVN19" s="34"/>
      <c r="AVO19" s="34"/>
      <c r="AVP19" s="34"/>
      <c r="AVQ19" s="34"/>
      <c r="AVR19" s="34"/>
      <c r="AVS19" s="34"/>
      <c r="AVT19" s="34"/>
      <c r="AVU19" s="34"/>
      <c r="AVV19" s="34"/>
      <c r="AVW19" s="34"/>
      <c r="AVX19" s="34"/>
      <c r="AVY19" s="34"/>
      <c r="AVZ19" s="34"/>
      <c r="AWA19" s="34"/>
      <c r="AWB19" s="34"/>
      <c r="AWC19" s="34"/>
      <c r="AWD19" s="34"/>
      <c r="AWE19" s="34"/>
      <c r="AWF19" s="34"/>
      <c r="AWG19" s="34"/>
      <c r="AWH19" s="34"/>
      <c r="AWI19" s="34"/>
      <c r="AWJ19" s="34"/>
      <c r="AWK19" s="34"/>
      <c r="AWL19" s="34"/>
      <c r="AWM19" s="34"/>
      <c r="AWN19" s="34"/>
      <c r="AWO19" s="34"/>
      <c r="AWP19" s="34"/>
      <c r="AWQ19" s="34"/>
      <c r="AWR19" s="34"/>
      <c r="AWS19" s="34"/>
      <c r="AWT19" s="34"/>
      <c r="AWU19" s="34"/>
      <c r="AWV19" s="34"/>
      <c r="AWW19" s="34"/>
      <c r="AWX19" s="34"/>
      <c r="AWY19" s="34"/>
      <c r="AWZ19" s="34"/>
      <c r="AXA19" s="34"/>
      <c r="AXB19" s="34"/>
      <c r="AXC19" s="34"/>
      <c r="AXD19" s="34"/>
      <c r="AXE19" s="34"/>
      <c r="AXF19" s="34"/>
      <c r="AXG19" s="34"/>
      <c r="AXH19" s="34"/>
      <c r="AXI19" s="34"/>
      <c r="AXJ19" s="34"/>
      <c r="AXK19" s="34"/>
      <c r="AXL19" s="34"/>
      <c r="AXM19" s="34"/>
      <c r="AXN19" s="34"/>
      <c r="AXO19" s="34"/>
      <c r="AXP19" s="34"/>
      <c r="AXQ19" s="34"/>
      <c r="AXR19" s="34"/>
      <c r="AXS19" s="34"/>
      <c r="AXT19" s="34"/>
      <c r="AXU19" s="34"/>
      <c r="AXV19" s="34"/>
      <c r="AXW19" s="34"/>
      <c r="AXX19" s="34"/>
      <c r="AXY19" s="34"/>
      <c r="AXZ19" s="34"/>
      <c r="AYA19" s="34"/>
      <c r="AYB19" s="34"/>
      <c r="AYC19" s="34"/>
      <c r="AYD19" s="34"/>
      <c r="AYE19" s="34"/>
      <c r="AYF19" s="34"/>
      <c r="AYG19" s="34"/>
      <c r="AYH19" s="34"/>
      <c r="AYI19" s="34"/>
      <c r="AYJ19" s="34"/>
      <c r="AYK19" s="34"/>
      <c r="AYL19" s="34"/>
      <c r="AYM19" s="34"/>
      <c r="AYN19" s="34"/>
      <c r="AYO19" s="34"/>
      <c r="AYP19" s="34"/>
      <c r="AYQ19" s="34"/>
      <c r="AYR19" s="34"/>
      <c r="AYS19" s="34"/>
      <c r="AYT19" s="34"/>
      <c r="AYU19" s="34"/>
      <c r="AYV19" s="34"/>
      <c r="AYW19" s="34"/>
      <c r="AYX19" s="34"/>
      <c r="AYY19" s="34"/>
      <c r="AYZ19" s="34"/>
      <c r="AZA19" s="34"/>
      <c r="AZB19" s="34"/>
      <c r="AZC19" s="34"/>
      <c r="AZD19" s="34"/>
      <c r="AZE19" s="34"/>
      <c r="AZF19" s="34"/>
      <c r="AZG19" s="34"/>
      <c r="AZH19" s="34"/>
      <c r="AZI19" s="34"/>
      <c r="AZJ19" s="34"/>
      <c r="AZK19" s="34"/>
      <c r="AZL19" s="34"/>
      <c r="AZM19" s="34"/>
      <c r="AZN19" s="34"/>
      <c r="AZO19" s="34"/>
      <c r="AZP19" s="34"/>
      <c r="AZQ19" s="34"/>
      <c r="AZR19" s="34"/>
      <c r="AZS19" s="34"/>
      <c r="AZT19" s="34"/>
      <c r="AZU19" s="34"/>
      <c r="AZV19" s="34"/>
      <c r="AZW19" s="34"/>
      <c r="AZX19" s="34"/>
      <c r="AZY19" s="34"/>
      <c r="AZZ19" s="34"/>
      <c r="BAA19" s="34"/>
      <c r="BAB19" s="34"/>
      <c r="BAC19" s="34"/>
      <c r="BAD19" s="34"/>
      <c r="BAE19" s="34"/>
      <c r="BAF19" s="34"/>
      <c r="BAG19" s="34"/>
      <c r="BAH19" s="34"/>
      <c r="BAI19" s="34"/>
      <c r="BAJ19" s="34"/>
      <c r="BAK19" s="34"/>
      <c r="BAL19" s="34"/>
      <c r="BAM19" s="34"/>
      <c r="BAN19" s="34"/>
      <c r="BAO19" s="34"/>
      <c r="BAP19" s="34"/>
      <c r="BAQ19" s="34"/>
      <c r="BAR19" s="34"/>
      <c r="BAS19" s="34"/>
      <c r="BAT19" s="34"/>
      <c r="BAU19" s="34"/>
      <c r="BAV19" s="34"/>
      <c r="BAW19" s="34"/>
      <c r="BAX19" s="34"/>
      <c r="BAY19" s="34"/>
      <c r="BAZ19" s="34"/>
      <c r="BBA19" s="34"/>
      <c r="BBB19" s="34"/>
      <c r="BBC19" s="34"/>
      <c r="BBD19" s="34"/>
      <c r="BBE19" s="34"/>
      <c r="BBF19" s="34"/>
      <c r="BBG19" s="34"/>
      <c r="BBH19" s="34"/>
      <c r="BBI19" s="34"/>
      <c r="BBJ19" s="34"/>
      <c r="BBK19" s="34"/>
      <c r="BBL19" s="34"/>
      <c r="BBM19" s="34"/>
      <c r="BBN19" s="34"/>
      <c r="BBO19" s="34"/>
      <c r="BBP19" s="34"/>
      <c r="BBQ19" s="34"/>
      <c r="BBR19" s="34"/>
      <c r="BBS19" s="34"/>
      <c r="BBT19" s="34"/>
      <c r="BBU19" s="34"/>
      <c r="BBV19" s="34"/>
      <c r="BBW19" s="34"/>
      <c r="BBX19" s="34"/>
      <c r="BBY19" s="34"/>
      <c r="BBZ19" s="34"/>
      <c r="BCA19" s="34"/>
      <c r="BCB19" s="34"/>
      <c r="BCC19" s="34"/>
      <c r="BCD19" s="34"/>
      <c r="BCE19" s="34"/>
      <c r="BCF19" s="34"/>
      <c r="BCG19" s="34"/>
      <c r="BCH19" s="34"/>
      <c r="BCI19" s="34"/>
      <c r="BCJ19" s="34"/>
      <c r="BCK19" s="34"/>
      <c r="BCL19" s="34"/>
      <c r="BCM19" s="34"/>
      <c r="BCN19" s="34"/>
      <c r="BCO19" s="34"/>
      <c r="BCP19" s="34"/>
      <c r="BCQ19" s="34"/>
      <c r="BCR19" s="34"/>
      <c r="BCS19" s="34"/>
      <c r="BCT19" s="34"/>
      <c r="BCU19" s="34"/>
      <c r="BCV19" s="34"/>
      <c r="BCW19" s="34"/>
      <c r="BCX19" s="34"/>
      <c r="BCY19" s="34"/>
      <c r="BCZ19" s="34"/>
      <c r="BDA19" s="34"/>
      <c r="BDB19" s="34"/>
      <c r="BDC19" s="34"/>
      <c r="BDD19" s="34"/>
      <c r="BDE19" s="34"/>
      <c r="BDF19" s="34"/>
      <c r="BDG19" s="34"/>
      <c r="BDH19" s="34"/>
      <c r="BDI19" s="34"/>
      <c r="BDJ19" s="34"/>
      <c r="BDK19" s="34"/>
      <c r="BDL19" s="34"/>
      <c r="BDM19" s="34"/>
      <c r="BDN19" s="34"/>
      <c r="BDO19" s="34"/>
      <c r="BDP19" s="34"/>
      <c r="BDQ19" s="34"/>
      <c r="BDR19" s="34"/>
      <c r="BDS19" s="34"/>
      <c r="BDT19" s="34"/>
      <c r="BDU19" s="34"/>
      <c r="BDV19" s="34"/>
      <c r="BDW19" s="34"/>
      <c r="BDX19" s="34"/>
      <c r="BDY19" s="34"/>
      <c r="BDZ19" s="34"/>
      <c r="BEA19" s="34"/>
      <c r="BEB19" s="34"/>
      <c r="BEC19" s="34"/>
      <c r="BED19" s="34"/>
      <c r="BEE19" s="34"/>
      <c r="BEF19" s="34"/>
      <c r="BEG19" s="34"/>
      <c r="BEH19" s="34"/>
      <c r="BEI19" s="34"/>
      <c r="BEJ19" s="34"/>
      <c r="BEK19" s="34"/>
      <c r="BEL19" s="34"/>
      <c r="BEM19" s="34"/>
      <c r="BEN19" s="34"/>
      <c r="BEO19" s="34"/>
      <c r="BEP19" s="34"/>
      <c r="BEQ19" s="34"/>
      <c r="BER19" s="34"/>
      <c r="BES19" s="34"/>
      <c r="BET19" s="34"/>
      <c r="BEU19" s="34"/>
      <c r="BEV19" s="34"/>
      <c r="BEW19" s="34"/>
      <c r="BEX19" s="34"/>
      <c r="BEY19" s="34"/>
      <c r="BEZ19" s="34"/>
      <c r="BFA19" s="34"/>
      <c r="BFB19" s="34"/>
      <c r="BFC19" s="34"/>
      <c r="BFD19" s="34"/>
      <c r="BFE19" s="34"/>
      <c r="BFF19" s="34"/>
      <c r="BFG19" s="34"/>
      <c r="BFH19" s="34"/>
      <c r="BFI19" s="34"/>
      <c r="BFJ19" s="34"/>
      <c r="BFK19" s="34"/>
      <c r="BFL19" s="34"/>
      <c r="BFM19" s="34"/>
      <c r="BFN19" s="34"/>
      <c r="BFO19" s="34"/>
      <c r="BFP19" s="34"/>
      <c r="BFQ19" s="34"/>
      <c r="BFR19" s="34"/>
      <c r="BFS19" s="34"/>
      <c r="BFT19" s="34"/>
      <c r="BFU19" s="34"/>
      <c r="BFV19" s="34"/>
      <c r="BFW19" s="34"/>
      <c r="BFX19" s="34"/>
      <c r="BFY19" s="34"/>
      <c r="BFZ19" s="34"/>
      <c r="BGA19" s="34"/>
      <c r="BGB19" s="34"/>
      <c r="BGC19" s="34"/>
      <c r="BGD19" s="34"/>
      <c r="BGE19" s="34"/>
      <c r="BGF19" s="34"/>
      <c r="BGG19" s="34"/>
      <c r="BGH19" s="34"/>
      <c r="BGI19" s="34"/>
      <c r="BGJ19" s="34"/>
      <c r="BGK19" s="34"/>
      <c r="BGL19" s="34"/>
      <c r="BGM19" s="34"/>
      <c r="BGN19" s="34"/>
      <c r="BGO19" s="34"/>
      <c r="BGP19" s="34"/>
      <c r="BGQ19" s="34"/>
      <c r="BGR19" s="34"/>
      <c r="BGS19" s="34"/>
      <c r="BGT19" s="34"/>
      <c r="BGU19" s="34"/>
      <c r="BGV19" s="34"/>
      <c r="BGW19" s="34"/>
      <c r="BGX19" s="34"/>
      <c r="BGY19" s="34"/>
      <c r="BGZ19" s="34"/>
      <c r="BHA19" s="34"/>
      <c r="BHB19" s="34"/>
      <c r="BHC19" s="34"/>
      <c r="BHD19" s="34"/>
      <c r="BHE19" s="34"/>
      <c r="BHF19" s="34"/>
      <c r="BHG19" s="34"/>
      <c r="BHH19" s="34"/>
      <c r="BHI19" s="34"/>
      <c r="BHJ19" s="34"/>
      <c r="BHK19" s="34"/>
      <c r="BHL19" s="34"/>
      <c r="BHM19" s="34"/>
      <c r="BHN19" s="34"/>
      <c r="BHO19" s="34"/>
      <c r="BHP19" s="34"/>
      <c r="BHQ19" s="34"/>
      <c r="BHR19" s="34"/>
      <c r="BHS19" s="34"/>
      <c r="BHT19" s="34"/>
      <c r="BHU19" s="34"/>
      <c r="BHV19" s="34"/>
      <c r="BHW19" s="34"/>
      <c r="BHX19" s="34"/>
      <c r="BHY19" s="34"/>
      <c r="BHZ19" s="34"/>
      <c r="BIA19" s="34"/>
      <c r="BIB19" s="34"/>
      <c r="BIC19" s="34"/>
      <c r="BID19" s="34"/>
      <c r="BIE19" s="34"/>
      <c r="BIF19" s="34"/>
      <c r="BIG19" s="34"/>
      <c r="BIH19" s="34"/>
      <c r="BII19" s="34"/>
      <c r="BIJ19" s="34"/>
      <c r="BIK19" s="34"/>
      <c r="BIL19" s="34"/>
      <c r="BIM19" s="34"/>
      <c r="BIN19" s="34"/>
      <c r="BIO19" s="34"/>
      <c r="BIP19" s="34"/>
      <c r="BIQ19" s="34"/>
      <c r="BIR19" s="34"/>
      <c r="BIS19" s="34"/>
      <c r="BIT19" s="34"/>
      <c r="BIU19" s="34"/>
      <c r="BIV19" s="34"/>
      <c r="BIW19" s="34"/>
      <c r="BIX19" s="34"/>
      <c r="BIY19" s="34"/>
      <c r="BIZ19" s="34"/>
      <c r="BJA19" s="34"/>
      <c r="BJB19" s="34"/>
      <c r="BJC19" s="34"/>
      <c r="BJD19" s="34"/>
      <c r="BJE19" s="34"/>
      <c r="BJF19" s="34"/>
      <c r="BJG19" s="34"/>
      <c r="BJH19" s="34"/>
      <c r="BJI19" s="34"/>
      <c r="BJJ19" s="34"/>
      <c r="BJK19" s="34"/>
      <c r="BJL19" s="34"/>
      <c r="BJM19" s="34"/>
      <c r="BJN19" s="34"/>
      <c r="BJO19" s="34"/>
      <c r="BJP19" s="34"/>
      <c r="BJQ19" s="34"/>
      <c r="BJR19" s="34"/>
      <c r="BJS19" s="34"/>
      <c r="BJT19" s="34"/>
      <c r="BJU19" s="34"/>
      <c r="BJV19" s="34"/>
      <c r="BJW19" s="34"/>
      <c r="BJX19" s="34"/>
      <c r="BJY19" s="34"/>
      <c r="BJZ19" s="34"/>
      <c r="BKA19" s="34"/>
      <c r="BKB19" s="34"/>
      <c r="BKC19" s="34"/>
      <c r="BKD19" s="34"/>
      <c r="BKE19" s="34"/>
      <c r="BKF19" s="34"/>
      <c r="BKG19" s="34"/>
      <c r="BKH19" s="34"/>
      <c r="BKI19" s="34"/>
      <c r="BKJ19" s="34"/>
      <c r="BKK19" s="34"/>
      <c r="BKL19" s="34"/>
      <c r="BKM19" s="34"/>
      <c r="BKN19" s="34"/>
      <c r="BKO19" s="34"/>
      <c r="BKP19" s="34"/>
      <c r="BKQ19" s="34"/>
      <c r="BKR19" s="34"/>
      <c r="BKS19" s="34"/>
      <c r="BKT19" s="34"/>
      <c r="BKU19" s="34"/>
      <c r="BKV19" s="34"/>
      <c r="BKW19" s="34"/>
      <c r="BKX19" s="34"/>
      <c r="BKY19" s="34"/>
      <c r="BKZ19" s="34"/>
      <c r="BLA19" s="34"/>
      <c r="BLB19" s="34"/>
      <c r="BLC19" s="34"/>
      <c r="BLD19" s="34"/>
      <c r="BLE19" s="34"/>
      <c r="BLF19" s="34"/>
      <c r="BLG19" s="34"/>
      <c r="BLH19" s="34"/>
      <c r="BLI19" s="34"/>
      <c r="BLJ19" s="34"/>
      <c r="BLK19" s="34"/>
      <c r="BLL19" s="34"/>
      <c r="BLM19" s="34"/>
      <c r="BLN19" s="34"/>
      <c r="BLO19" s="34"/>
      <c r="BLP19" s="34"/>
      <c r="BLQ19" s="34"/>
      <c r="BLR19" s="34"/>
      <c r="BLS19" s="34"/>
      <c r="BLT19" s="34"/>
      <c r="BLU19" s="34"/>
      <c r="BLV19" s="34"/>
      <c r="BLW19" s="34"/>
      <c r="BLX19" s="34"/>
      <c r="BLY19" s="34"/>
      <c r="BLZ19" s="34"/>
      <c r="BMA19" s="34"/>
      <c r="BMB19" s="34"/>
      <c r="BMC19" s="34"/>
      <c r="BMD19" s="34"/>
      <c r="BME19" s="34"/>
      <c r="BMF19" s="34"/>
      <c r="BMG19" s="34"/>
      <c r="BMH19" s="34"/>
      <c r="BMI19" s="34"/>
      <c r="BMJ19" s="34"/>
      <c r="BMK19" s="34"/>
      <c r="BML19" s="34"/>
      <c r="BMM19" s="34"/>
      <c r="BMN19" s="34"/>
      <c r="BMO19" s="34"/>
      <c r="BMP19" s="34"/>
      <c r="BMQ19" s="34"/>
      <c r="BMR19" s="34"/>
      <c r="BMS19" s="34"/>
      <c r="BMT19" s="34"/>
      <c r="BMU19" s="34"/>
      <c r="BMV19" s="34"/>
      <c r="BMW19" s="34"/>
      <c r="BMX19" s="34"/>
      <c r="BMY19" s="34"/>
      <c r="BMZ19" s="34"/>
      <c r="BNA19" s="34"/>
      <c r="BNB19" s="34"/>
      <c r="BNC19" s="34"/>
      <c r="BND19" s="34"/>
      <c r="BNE19" s="34"/>
      <c r="BNF19" s="34"/>
      <c r="BNG19" s="34"/>
      <c r="BNH19" s="34"/>
      <c r="BNI19" s="34"/>
      <c r="BNJ19" s="34"/>
      <c r="BNK19" s="34"/>
      <c r="BNL19" s="34"/>
      <c r="BNM19" s="34"/>
      <c r="BNN19" s="34"/>
      <c r="BNO19" s="34"/>
      <c r="BNP19" s="34"/>
      <c r="BNQ19" s="34"/>
      <c r="BNR19" s="34"/>
      <c r="BNS19" s="34"/>
      <c r="BNT19" s="34"/>
      <c r="BNU19" s="34"/>
      <c r="BNV19" s="34"/>
      <c r="BNW19" s="34"/>
      <c r="BNX19" s="34"/>
      <c r="BNY19" s="34"/>
      <c r="BNZ19" s="34"/>
      <c r="BOA19" s="34"/>
      <c r="BOB19" s="34"/>
      <c r="BOC19" s="34"/>
      <c r="BOD19" s="34"/>
      <c r="BOE19" s="34"/>
      <c r="BOF19" s="34"/>
      <c r="BOG19" s="34"/>
      <c r="BOH19" s="34"/>
      <c r="BOI19" s="34"/>
      <c r="BOJ19" s="34"/>
      <c r="BOK19" s="34"/>
      <c r="BOL19" s="34"/>
      <c r="BOM19" s="34"/>
      <c r="BON19" s="34"/>
      <c r="BOO19" s="34"/>
      <c r="BOP19" s="34"/>
      <c r="BOQ19" s="34"/>
      <c r="BOR19" s="34"/>
      <c r="BOS19" s="34"/>
      <c r="BOT19" s="34"/>
      <c r="BOU19" s="34"/>
      <c r="BOV19" s="34"/>
      <c r="BOW19" s="34"/>
      <c r="BOX19" s="34"/>
      <c r="BOY19" s="34"/>
      <c r="BOZ19" s="34"/>
      <c r="BPA19" s="34"/>
      <c r="BPB19" s="34"/>
      <c r="BPC19" s="34"/>
      <c r="BPD19" s="34"/>
      <c r="BPE19" s="34"/>
      <c r="BPF19" s="34"/>
      <c r="BPG19" s="34"/>
      <c r="BPH19" s="34"/>
      <c r="BPI19" s="34"/>
      <c r="BPJ19" s="34"/>
      <c r="BPK19" s="34"/>
      <c r="BPL19" s="34"/>
      <c r="BPM19" s="34"/>
      <c r="BPN19" s="34"/>
      <c r="BPO19" s="34"/>
      <c r="BPP19" s="34"/>
      <c r="BPQ19" s="34"/>
      <c r="BPR19" s="34"/>
      <c r="BPS19" s="34"/>
      <c r="BPT19" s="34"/>
      <c r="BPU19" s="34"/>
      <c r="BPV19" s="34"/>
      <c r="BPW19" s="34"/>
      <c r="BPX19" s="34"/>
      <c r="BPY19" s="34"/>
      <c r="BPZ19" s="34"/>
      <c r="BQA19" s="34"/>
      <c r="BQB19" s="34"/>
      <c r="BQC19" s="34"/>
      <c r="BQD19" s="34"/>
      <c r="BQE19" s="34"/>
      <c r="BQF19" s="34"/>
      <c r="BQG19" s="34"/>
      <c r="BQH19" s="34"/>
      <c r="BQI19" s="34"/>
      <c r="BQJ19" s="34"/>
      <c r="BQK19" s="34"/>
      <c r="BQL19" s="34"/>
      <c r="BQM19" s="34"/>
      <c r="BQN19" s="34"/>
      <c r="BQO19" s="34"/>
      <c r="BQP19" s="34"/>
      <c r="BQQ19" s="34"/>
      <c r="BQR19" s="34"/>
      <c r="BQS19" s="34"/>
      <c r="BQT19" s="34"/>
      <c r="BQU19" s="34"/>
      <c r="BQV19" s="34"/>
      <c r="BQW19" s="34"/>
      <c r="BQX19" s="34"/>
      <c r="BQY19" s="34"/>
      <c r="BQZ19" s="34"/>
      <c r="BRA19" s="34"/>
      <c r="BRB19" s="34"/>
      <c r="BRC19" s="34"/>
      <c r="BRD19" s="34"/>
      <c r="BRE19" s="34"/>
      <c r="BRF19" s="34"/>
      <c r="BRG19" s="34"/>
      <c r="BRH19" s="34"/>
      <c r="BRI19" s="34"/>
      <c r="BRJ19" s="34"/>
      <c r="BRK19" s="34"/>
      <c r="BRL19" s="34"/>
      <c r="BRM19" s="34"/>
      <c r="BRN19" s="34"/>
      <c r="BRO19" s="34"/>
      <c r="BRP19" s="34"/>
      <c r="BRQ19" s="34"/>
      <c r="BRR19" s="34"/>
      <c r="BRS19" s="34"/>
      <c r="BRT19" s="34"/>
      <c r="BRU19" s="34"/>
      <c r="BRV19" s="34"/>
      <c r="BRW19" s="34"/>
      <c r="BRX19" s="34"/>
      <c r="BRY19" s="34"/>
      <c r="BRZ19" s="34"/>
      <c r="BSA19" s="34"/>
      <c r="BSB19" s="34"/>
      <c r="BSC19" s="34"/>
      <c r="BSD19" s="34"/>
      <c r="BSE19" s="34"/>
      <c r="BSF19" s="34"/>
      <c r="BSG19" s="34"/>
      <c r="BSH19" s="34"/>
      <c r="BSI19" s="34"/>
      <c r="BSJ19" s="34"/>
      <c r="BSK19" s="34"/>
      <c r="BSL19" s="34"/>
      <c r="BSM19" s="34"/>
      <c r="BSN19" s="34"/>
      <c r="BSO19" s="34"/>
      <c r="BSP19" s="34"/>
      <c r="BSQ19" s="34"/>
      <c r="BSR19" s="34"/>
      <c r="BSS19" s="34"/>
      <c r="BST19" s="34"/>
      <c r="BSU19" s="34"/>
      <c r="BSV19" s="34"/>
      <c r="BSW19" s="34"/>
      <c r="BSX19" s="34"/>
      <c r="BSY19" s="34"/>
      <c r="BSZ19" s="34"/>
      <c r="BTA19" s="34"/>
      <c r="BTB19" s="34"/>
      <c r="BTC19" s="34"/>
      <c r="BTD19" s="34"/>
      <c r="BTE19" s="34"/>
      <c r="BTF19" s="34"/>
      <c r="BTG19" s="34"/>
      <c r="BTH19" s="34"/>
      <c r="BTI19" s="34"/>
      <c r="BTJ19" s="34"/>
      <c r="BTK19" s="34"/>
      <c r="BTL19" s="34"/>
      <c r="BTM19" s="34"/>
      <c r="BTN19" s="34"/>
      <c r="BTO19" s="34"/>
      <c r="BTP19" s="34"/>
      <c r="BTQ19" s="34"/>
      <c r="BTR19" s="34"/>
      <c r="BTS19" s="34"/>
      <c r="BTT19" s="34"/>
      <c r="BTU19" s="34"/>
      <c r="BTV19" s="34"/>
      <c r="BTW19" s="34"/>
      <c r="BTX19" s="34"/>
      <c r="BTY19" s="34"/>
      <c r="BTZ19" s="34"/>
      <c r="BUA19" s="34"/>
      <c r="BUB19" s="34"/>
      <c r="BUC19" s="34"/>
      <c r="BUD19" s="34"/>
      <c r="BUE19" s="34"/>
      <c r="BUF19" s="34"/>
      <c r="BUG19" s="34"/>
      <c r="BUH19" s="34"/>
      <c r="BUI19" s="34"/>
      <c r="BUJ19" s="34"/>
      <c r="BUK19" s="34"/>
      <c r="BUL19" s="34"/>
      <c r="BUM19" s="34"/>
      <c r="BUN19" s="34"/>
      <c r="BUO19" s="34"/>
      <c r="BUP19" s="34"/>
      <c r="BUQ19" s="34"/>
      <c r="BUR19" s="34"/>
      <c r="BUS19" s="34"/>
      <c r="BUT19" s="34"/>
      <c r="BUU19" s="34"/>
      <c r="BUV19" s="34"/>
      <c r="BUW19" s="34"/>
      <c r="BUX19" s="34"/>
      <c r="BUY19" s="34"/>
      <c r="BUZ19" s="34"/>
      <c r="BVA19" s="34"/>
      <c r="BVB19" s="34"/>
      <c r="BVC19" s="34"/>
      <c r="BVD19" s="34"/>
      <c r="BVE19" s="34"/>
      <c r="BVF19" s="34"/>
      <c r="BVG19" s="34"/>
      <c r="BVH19" s="34"/>
      <c r="BVI19" s="34"/>
      <c r="BVJ19" s="34"/>
      <c r="BVK19" s="34"/>
      <c r="BVL19" s="34"/>
      <c r="BVM19" s="34"/>
      <c r="BVN19" s="34"/>
      <c r="BVO19" s="34"/>
      <c r="BVP19" s="34"/>
      <c r="BVQ19" s="34"/>
      <c r="BVR19" s="34"/>
      <c r="BVS19" s="34"/>
      <c r="BVT19" s="34"/>
      <c r="BVU19" s="34"/>
      <c r="BVV19" s="34"/>
      <c r="BVW19" s="34"/>
      <c r="BVX19" s="34"/>
      <c r="BVY19" s="34"/>
      <c r="BVZ19" s="34"/>
      <c r="BWA19" s="34"/>
      <c r="BWB19" s="34"/>
      <c r="BWC19" s="34"/>
      <c r="BWD19" s="34"/>
      <c r="BWE19" s="34"/>
      <c r="BWF19" s="34"/>
      <c r="BWG19" s="34"/>
      <c r="BWH19" s="34"/>
      <c r="BWI19" s="34"/>
      <c r="BWJ19" s="34"/>
      <c r="BWK19" s="34"/>
      <c r="BWL19" s="34"/>
      <c r="BWM19" s="34"/>
      <c r="BWN19" s="34"/>
      <c r="BWO19" s="34"/>
      <c r="BWP19" s="34"/>
      <c r="BWQ19" s="34"/>
      <c r="BWR19" s="34"/>
      <c r="BWS19" s="34"/>
      <c r="BWT19" s="34"/>
      <c r="BWU19" s="34"/>
      <c r="BWV19" s="34"/>
      <c r="BWW19" s="34"/>
      <c r="BWX19" s="34"/>
      <c r="BWY19" s="34"/>
      <c r="BWZ19" s="34"/>
      <c r="BXA19" s="34"/>
      <c r="BXB19" s="34"/>
      <c r="BXC19" s="34"/>
      <c r="BXD19" s="34"/>
      <c r="BXE19" s="34"/>
      <c r="BXF19" s="34"/>
      <c r="BXG19" s="34"/>
      <c r="BXH19" s="34"/>
      <c r="BXI19" s="34"/>
      <c r="BXJ19" s="34"/>
      <c r="BXK19" s="34"/>
      <c r="BXL19" s="34"/>
      <c r="BXM19" s="34"/>
      <c r="BXN19" s="34"/>
      <c r="BXO19" s="34"/>
      <c r="BXP19" s="34"/>
      <c r="BXQ19" s="34"/>
      <c r="BXR19" s="34"/>
      <c r="BXS19" s="34"/>
      <c r="BXT19" s="34"/>
      <c r="BXU19" s="34"/>
      <c r="BXV19" s="34"/>
      <c r="BXW19" s="34"/>
      <c r="BXX19" s="34"/>
      <c r="BXY19" s="34"/>
      <c r="BXZ19" s="34"/>
      <c r="BYA19" s="34"/>
      <c r="BYB19" s="34"/>
      <c r="BYC19" s="34"/>
      <c r="BYD19" s="34"/>
      <c r="BYE19" s="34"/>
      <c r="BYF19" s="34"/>
      <c r="BYG19" s="34"/>
      <c r="BYH19" s="34"/>
      <c r="BYI19" s="34"/>
      <c r="BYJ19" s="34"/>
      <c r="BYK19" s="34"/>
      <c r="BYL19" s="34"/>
      <c r="BYM19" s="34"/>
      <c r="BYN19" s="34"/>
      <c r="BYO19" s="34"/>
      <c r="BYP19" s="34"/>
      <c r="BYQ19" s="34"/>
      <c r="BYR19" s="34"/>
      <c r="BYS19" s="34"/>
      <c r="BYT19" s="34"/>
      <c r="BYU19" s="34"/>
      <c r="BYV19" s="34"/>
      <c r="BYW19" s="34"/>
      <c r="BYX19" s="34"/>
      <c r="BYY19" s="34"/>
      <c r="BYZ19" s="34"/>
      <c r="BZA19" s="34"/>
      <c r="BZB19" s="34"/>
      <c r="BZC19" s="34"/>
      <c r="BZD19" s="34"/>
      <c r="BZE19" s="34"/>
      <c r="BZF19" s="34"/>
      <c r="BZG19" s="34"/>
      <c r="BZH19" s="34"/>
      <c r="BZI19" s="34"/>
      <c r="BZJ19" s="34"/>
      <c r="BZK19" s="34"/>
      <c r="BZL19" s="34"/>
      <c r="BZM19" s="34"/>
      <c r="BZN19" s="34"/>
      <c r="BZO19" s="34"/>
      <c r="BZP19" s="34"/>
      <c r="BZQ19" s="34"/>
      <c r="BZR19" s="34"/>
      <c r="BZS19" s="34"/>
      <c r="BZT19" s="34"/>
      <c r="BZU19" s="34"/>
      <c r="BZV19" s="34"/>
      <c r="BZW19" s="34"/>
      <c r="BZX19" s="34"/>
      <c r="BZY19" s="34"/>
      <c r="BZZ19" s="34"/>
      <c r="CAA19" s="34"/>
      <c r="CAB19" s="34"/>
      <c r="CAC19" s="34"/>
      <c r="CAD19" s="34"/>
      <c r="CAE19" s="34"/>
      <c r="CAF19" s="34"/>
      <c r="CAG19" s="34"/>
      <c r="CAH19" s="34"/>
      <c r="CAI19" s="34"/>
      <c r="CAJ19" s="34"/>
      <c r="CAK19" s="34"/>
      <c r="CAL19" s="34"/>
      <c r="CAM19" s="34"/>
      <c r="CAN19" s="34"/>
      <c r="CAO19" s="34"/>
      <c r="CAP19" s="34"/>
      <c r="CAQ19" s="34"/>
      <c r="CAR19" s="34"/>
      <c r="CAS19" s="34"/>
      <c r="CAT19" s="34"/>
      <c r="CAU19" s="34"/>
      <c r="CAV19" s="34"/>
      <c r="CAW19" s="34"/>
      <c r="CAX19" s="34"/>
      <c r="CAY19" s="34"/>
      <c r="CAZ19" s="34"/>
      <c r="CBA19" s="34"/>
      <c r="CBB19" s="34"/>
      <c r="CBC19" s="34"/>
      <c r="CBD19" s="34"/>
      <c r="CBE19" s="34"/>
      <c r="CBF19" s="34"/>
      <c r="CBG19" s="34"/>
      <c r="CBH19" s="34"/>
      <c r="CBI19" s="34"/>
      <c r="CBJ19" s="34"/>
      <c r="CBK19" s="34"/>
      <c r="CBL19" s="34"/>
      <c r="CBM19" s="34"/>
      <c r="CBN19" s="34"/>
      <c r="CBO19" s="34"/>
      <c r="CBP19" s="34"/>
      <c r="CBQ19" s="34"/>
      <c r="CBR19" s="34"/>
      <c r="CBS19" s="34"/>
      <c r="CBT19" s="34"/>
      <c r="CBU19" s="34"/>
      <c r="CBV19" s="34"/>
      <c r="CBW19" s="34"/>
      <c r="CBX19" s="34"/>
      <c r="CBY19" s="34"/>
      <c r="CBZ19" s="34"/>
      <c r="CCA19" s="34"/>
      <c r="CCB19" s="34"/>
      <c r="CCC19" s="34"/>
      <c r="CCD19" s="34"/>
      <c r="CCE19" s="34"/>
      <c r="CCF19" s="34"/>
      <c r="CCG19" s="34"/>
      <c r="CCH19" s="34"/>
      <c r="CCI19" s="34"/>
      <c r="CCJ19" s="34"/>
      <c r="CCK19" s="34"/>
      <c r="CCL19" s="34"/>
      <c r="CCM19" s="34"/>
      <c r="CCN19" s="34"/>
      <c r="CCO19" s="34"/>
      <c r="CCP19" s="34"/>
      <c r="CCQ19" s="34"/>
      <c r="CCR19" s="34"/>
      <c r="CCS19" s="34"/>
      <c r="CCT19" s="34"/>
      <c r="CCU19" s="34"/>
      <c r="CCV19" s="34"/>
      <c r="CCW19" s="34"/>
      <c r="CCX19" s="34"/>
      <c r="CCY19" s="34"/>
      <c r="CCZ19" s="34"/>
      <c r="CDA19" s="34"/>
      <c r="CDB19" s="34"/>
      <c r="CDC19" s="34"/>
      <c r="CDD19" s="34"/>
      <c r="CDE19" s="34"/>
      <c r="CDF19" s="34"/>
      <c r="CDG19" s="34"/>
      <c r="CDH19" s="34"/>
      <c r="CDI19" s="34"/>
      <c r="CDJ19" s="34"/>
      <c r="CDK19" s="34"/>
      <c r="CDL19" s="34"/>
      <c r="CDM19" s="34"/>
      <c r="CDN19" s="34"/>
      <c r="CDO19" s="34"/>
      <c r="CDP19" s="34"/>
      <c r="CDQ19" s="34"/>
      <c r="CDR19" s="34"/>
      <c r="CDS19" s="34"/>
      <c r="CDT19" s="34"/>
      <c r="CDU19" s="34"/>
      <c r="CDV19" s="34"/>
      <c r="CDW19" s="34"/>
      <c r="CDX19" s="34"/>
      <c r="CDY19" s="34"/>
      <c r="CDZ19" s="34"/>
      <c r="CEA19" s="34"/>
      <c r="CEB19" s="34"/>
      <c r="CEC19" s="34"/>
      <c r="CED19" s="34"/>
      <c r="CEE19" s="34"/>
      <c r="CEF19" s="34"/>
      <c r="CEG19" s="34"/>
      <c r="CEH19" s="34"/>
      <c r="CEI19" s="34"/>
      <c r="CEJ19" s="34"/>
      <c r="CEK19" s="34"/>
      <c r="CEL19" s="34"/>
      <c r="CEM19" s="34"/>
      <c r="CEN19" s="34"/>
      <c r="CEO19" s="34"/>
      <c r="CEP19" s="34"/>
      <c r="CEQ19" s="34"/>
      <c r="CER19" s="34"/>
      <c r="CES19" s="34"/>
      <c r="CET19" s="34"/>
      <c r="CEU19" s="34"/>
      <c r="CEV19" s="34"/>
      <c r="CEW19" s="34"/>
      <c r="CEX19" s="34"/>
      <c r="CEY19" s="34"/>
      <c r="CEZ19" s="34"/>
      <c r="CFA19" s="34"/>
      <c r="CFB19" s="34"/>
      <c r="CFC19" s="34"/>
      <c r="CFD19" s="34"/>
      <c r="CFE19" s="34"/>
      <c r="CFF19" s="34"/>
      <c r="CFG19" s="34"/>
      <c r="CFH19" s="34"/>
      <c r="CFI19" s="34"/>
      <c r="CFJ19" s="34"/>
      <c r="CFK19" s="34"/>
      <c r="CFL19" s="34"/>
      <c r="CFM19" s="34"/>
      <c r="CFN19" s="34"/>
      <c r="CFO19" s="34"/>
      <c r="CFP19" s="34"/>
      <c r="CFQ19" s="34"/>
      <c r="CFR19" s="34"/>
      <c r="CFS19" s="34"/>
      <c r="CFT19" s="34"/>
      <c r="CFU19" s="34"/>
      <c r="CFV19" s="34"/>
      <c r="CFW19" s="34"/>
      <c r="CFX19" s="34"/>
      <c r="CFY19" s="34"/>
      <c r="CFZ19" s="34"/>
      <c r="CGA19" s="34"/>
      <c r="CGB19" s="34"/>
      <c r="CGC19" s="34"/>
      <c r="CGD19" s="34"/>
      <c r="CGE19" s="34"/>
      <c r="CGF19" s="34"/>
      <c r="CGG19" s="34"/>
      <c r="CGH19" s="34"/>
      <c r="CGI19" s="34"/>
      <c r="CGJ19" s="34"/>
      <c r="CGK19" s="34"/>
      <c r="CGL19" s="34"/>
      <c r="CGM19" s="34"/>
      <c r="CGN19" s="34"/>
      <c r="CGO19" s="34"/>
      <c r="CGP19" s="34"/>
      <c r="CGQ19" s="34"/>
      <c r="CGR19" s="34"/>
      <c r="CGS19" s="34"/>
      <c r="CGT19" s="34"/>
      <c r="CGU19" s="34"/>
      <c r="CGV19" s="34"/>
      <c r="CGW19" s="34"/>
      <c r="CGX19" s="34"/>
      <c r="CGY19" s="34"/>
      <c r="CGZ19" s="34"/>
      <c r="CHA19" s="34"/>
      <c r="CHB19" s="34"/>
      <c r="CHC19" s="34"/>
      <c r="CHD19" s="34"/>
      <c r="CHE19" s="34"/>
      <c r="CHF19" s="34"/>
      <c r="CHG19" s="34"/>
      <c r="CHH19" s="34"/>
      <c r="CHI19" s="34"/>
      <c r="CHJ19" s="34"/>
      <c r="CHK19" s="34"/>
      <c r="CHL19" s="34"/>
      <c r="CHM19" s="34"/>
      <c r="CHN19" s="34"/>
      <c r="CHO19" s="34"/>
      <c r="CHP19" s="34"/>
      <c r="CHQ19" s="34"/>
      <c r="CHR19" s="34"/>
      <c r="CHS19" s="34"/>
      <c r="CHT19" s="34"/>
      <c r="CHU19" s="34"/>
      <c r="CHV19" s="34"/>
      <c r="CHW19" s="34"/>
      <c r="CHX19" s="34"/>
      <c r="CHY19" s="34"/>
      <c r="CHZ19" s="34"/>
      <c r="CIA19" s="34"/>
      <c r="CIB19" s="34"/>
      <c r="CIC19" s="34"/>
      <c r="CID19" s="34"/>
      <c r="CIE19" s="34"/>
      <c r="CIF19" s="34"/>
      <c r="CIG19" s="34"/>
      <c r="CIH19" s="34"/>
      <c r="CII19" s="34"/>
      <c r="CIJ19" s="34"/>
      <c r="CIK19" s="34"/>
      <c r="CIL19" s="34"/>
      <c r="CIM19" s="34"/>
      <c r="CIN19" s="34"/>
      <c r="CIO19" s="34"/>
      <c r="CIP19" s="34"/>
      <c r="CIQ19" s="34"/>
      <c r="CIR19" s="34"/>
      <c r="CIS19" s="34"/>
      <c r="CIT19" s="34"/>
      <c r="CIU19" s="34"/>
      <c r="CIV19" s="34"/>
      <c r="CIW19" s="34"/>
      <c r="CIX19" s="34"/>
      <c r="CIY19" s="34"/>
      <c r="CIZ19" s="34"/>
      <c r="CJA19" s="34"/>
      <c r="CJB19" s="34"/>
      <c r="CJC19" s="34"/>
      <c r="CJD19" s="34"/>
      <c r="CJE19" s="34"/>
      <c r="CJF19" s="34"/>
      <c r="CJG19" s="34"/>
      <c r="CJH19" s="34"/>
      <c r="CJI19" s="34"/>
      <c r="CJJ19" s="34"/>
      <c r="CJK19" s="34"/>
      <c r="CJL19" s="34"/>
      <c r="CJM19" s="34"/>
      <c r="CJN19" s="34"/>
      <c r="CJO19" s="34"/>
      <c r="CJP19" s="34"/>
      <c r="CJQ19" s="34"/>
      <c r="CJR19" s="34"/>
      <c r="CJS19" s="34"/>
      <c r="CJT19" s="34"/>
      <c r="CJU19" s="34"/>
      <c r="CJV19" s="34"/>
      <c r="CJW19" s="34"/>
      <c r="CJX19" s="34"/>
      <c r="CJY19" s="34"/>
      <c r="CJZ19" s="34"/>
      <c r="CKA19" s="34"/>
      <c r="CKB19" s="34"/>
      <c r="CKC19" s="34"/>
      <c r="CKD19" s="34"/>
      <c r="CKE19" s="34"/>
      <c r="CKF19" s="34"/>
      <c r="CKG19" s="34"/>
      <c r="CKH19" s="34"/>
      <c r="CKI19" s="34"/>
      <c r="CKJ19" s="34"/>
      <c r="CKK19" s="34"/>
      <c r="CKL19" s="34"/>
      <c r="CKM19" s="34"/>
      <c r="CKN19" s="34"/>
      <c r="CKO19" s="34"/>
      <c r="CKP19" s="34"/>
      <c r="CKQ19" s="34"/>
      <c r="CKR19" s="34"/>
      <c r="CKS19" s="34"/>
      <c r="CKT19" s="34"/>
      <c r="CKU19" s="34"/>
      <c r="CKV19" s="34"/>
      <c r="CKW19" s="34"/>
      <c r="CKX19" s="34"/>
      <c r="CKY19" s="34"/>
      <c r="CKZ19" s="34"/>
      <c r="CLA19" s="34"/>
      <c r="CLB19" s="34"/>
      <c r="CLC19" s="34"/>
      <c r="CLD19" s="34"/>
      <c r="CLE19" s="34"/>
      <c r="CLF19" s="34"/>
      <c r="CLG19" s="34"/>
      <c r="CLH19" s="34"/>
      <c r="CLI19" s="34"/>
      <c r="CLJ19" s="34"/>
      <c r="CLK19" s="34"/>
      <c r="CLL19" s="34"/>
      <c r="CLM19" s="34"/>
      <c r="CLN19" s="34"/>
      <c r="CLO19" s="34"/>
      <c r="CLP19" s="34"/>
      <c r="CLQ19" s="34"/>
      <c r="CLR19" s="34"/>
      <c r="CLS19" s="34"/>
      <c r="CLT19" s="34"/>
      <c r="CLU19" s="34"/>
      <c r="CLV19" s="34"/>
      <c r="CLW19" s="34"/>
      <c r="CLX19" s="34"/>
      <c r="CLY19" s="34"/>
      <c r="CLZ19" s="34"/>
      <c r="CMA19" s="34"/>
      <c r="CMB19" s="34"/>
      <c r="CMC19" s="34"/>
      <c r="CMD19" s="34"/>
      <c r="CME19" s="34"/>
      <c r="CMF19" s="34"/>
      <c r="CMG19" s="34"/>
      <c r="CMH19" s="34"/>
      <c r="CMI19" s="34"/>
      <c r="CMJ19" s="34"/>
      <c r="CMK19" s="34"/>
      <c r="CML19" s="34"/>
      <c r="CMM19" s="34"/>
      <c r="CMN19" s="34"/>
      <c r="CMO19" s="34"/>
      <c r="CMP19" s="34"/>
      <c r="CMQ19" s="34"/>
      <c r="CMR19" s="34"/>
      <c r="CMS19" s="34"/>
      <c r="CMT19" s="34"/>
      <c r="CMU19" s="34"/>
      <c r="CMV19" s="34"/>
      <c r="CMW19" s="34"/>
      <c r="CMX19" s="34"/>
      <c r="CMY19" s="34"/>
      <c r="CMZ19" s="34"/>
      <c r="CNA19" s="34"/>
      <c r="CNB19" s="34"/>
      <c r="CNC19" s="34"/>
      <c r="CND19" s="34"/>
      <c r="CNE19" s="34"/>
      <c r="CNF19" s="34"/>
      <c r="CNG19" s="34"/>
      <c r="CNH19" s="34"/>
      <c r="CNI19" s="34"/>
      <c r="CNJ19" s="34"/>
      <c r="CNK19" s="34"/>
      <c r="CNL19" s="34"/>
      <c r="CNM19" s="34"/>
      <c r="CNN19" s="34"/>
      <c r="CNO19" s="34"/>
      <c r="CNP19" s="34"/>
      <c r="CNQ19" s="34"/>
      <c r="CNR19" s="34"/>
      <c r="CNS19" s="34"/>
      <c r="CNT19" s="34"/>
      <c r="CNU19" s="34"/>
      <c r="CNV19" s="34"/>
      <c r="CNW19" s="34"/>
      <c r="CNX19" s="34"/>
      <c r="CNY19" s="34"/>
      <c r="CNZ19" s="34"/>
      <c r="COA19" s="34"/>
      <c r="COB19" s="34"/>
      <c r="COC19" s="34"/>
      <c r="COD19" s="34"/>
      <c r="COE19" s="34"/>
      <c r="COF19" s="34"/>
      <c r="COG19" s="34"/>
      <c r="COH19" s="34"/>
      <c r="COI19" s="34"/>
      <c r="COJ19" s="34"/>
      <c r="COK19" s="34"/>
      <c r="COL19" s="34"/>
      <c r="COM19" s="34"/>
      <c r="CON19" s="34"/>
      <c r="COO19" s="34"/>
      <c r="COP19" s="34"/>
      <c r="COQ19" s="34"/>
      <c r="COR19" s="34"/>
      <c r="COS19" s="34"/>
      <c r="COT19" s="34"/>
      <c r="COU19" s="34"/>
      <c r="COV19" s="34"/>
      <c r="COW19" s="34"/>
      <c r="COX19" s="34"/>
      <c r="COY19" s="34"/>
      <c r="COZ19" s="34"/>
      <c r="CPA19" s="34"/>
      <c r="CPB19" s="34"/>
      <c r="CPC19" s="34"/>
      <c r="CPD19" s="34"/>
      <c r="CPE19" s="34"/>
      <c r="CPF19" s="34"/>
      <c r="CPG19" s="34"/>
      <c r="CPH19" s="34"/>
      <c r="CPI19" s="34"/>
      <c r="CPJ19" s="34"/>
      <c r="CPK19" s="34"/>
      <c r="CPL19" s="34"/>
      <c r="CPM19" s="34"/>
      <c r="CPN19" s="34"/>
      <c r="CPO19" s="34"/>
      <c r="CPP19" s="34"/>
      <c r="CPQ19" s="34"/>
      <c r="CPR19" s="34"/>
      <c r="CPS19" s="34"/>
      <c r="CPT19" s="34"/>
      <c r="CPU19" s="34"/>
      <c r="CPV19" s="34"/>
      <c r="CPW19" s="34"/>
      <c r="CPX19" s="34"/>
      <c r="CPY19" s="34"/>
      <c r="CPZ19" s="34"/>
      <c r="CQA19" s="34"/>
      <c r="CQB19" s="34"/>
      <c r="CQC19" s="34"/>
      <c r="CQD19" s="34"/>
      <c r="CQE19" s="34"/>
      <c r="CQF19" s="34"/>
      <c r="CQG19" s="34"/>
      <c r="CQH19" s="34"/>
      <c r="CQI19" s="34"/>
      <c r="CQJ19" s="34"/>
      <c r="CQK19" s="34"/>
      <c r="CQL19" s="34"/>
      <c r="CQM19" s="34"/>
      <c r="CQN19" s="34"/>
      <c r="CQO19" s="34"/>
      <c r="CQP19" s="34"/>
      <c r="CQQ19" s="34"/>
      <c r="CQR19" s="34"/>
      <c r="CQS19" s="34"/>
      <c r="CQT19" s="34"/>
      <c r="CQU19" s="34"/>
      <c r="CQV19" s="34"/>
      <c r="CQW19" s="34"/>
      <c r="CQX19" s="34"/>
      <c r="CQY19" s="34"/>
      <c r="CQZ19" s="34"/>
      <c r="CRA19" s="34"/>
      <c r="CRB19" s="34"/>
      <c r="CRC19" s="34"/>
      <c r="CRD19" s="34"/>
      <c r="CRE19" s="34"/>
      <c r="CRF19" s="34"/>
      <c r="CRG19" s="34"/>
      <c r="CRH19" s="34"/>
      <c r="CRI19" s="34"/>
      <c r="CRJ19" s="34"/>
      <c r="CRK19" s="34"/>
      <c r="CRL19" s="34"/>
      <c r="CRM19" s="34"/>
      <c r="CRN19" s="34"/>
      <c r="CRO19" s="34"/>
      <c r="CRP19" s="34"/>
      <c r="CRQ19" s="34"/>
      <c r="CRR19" s="34"/>
      <c r="CRS19" s="34"/>
      <c r="CRT19" s="34"/>
      <c r="CRU19" s="34"/>
      <c r="CRV19" s="34"/>
      <c r="CRW19" s="34"/>
      <c r="CRX19" s="34"/>
      <c r="CRY19" s="34"/>
      <c r="CRZ19" s="34"/>
      <c r="CSA19" s="34"/>
      <c r="CSB19" s="34"/>
      <c r="CSC19" s="34"/>
      <c r="CSD19" s="34"/>
      <c r="CSE19" s="34"/>
      <c r="CSF19" s="34"/>
      <c r="CSG19" s="34"/>
      <c r="CSH19" s="34"/>
      <c r="CSI19" s="34"/>
      <c r="CSJ19" s="34"/>
      <c r="CSK19" s="34"/>
      <c r="CSL19" s="34"/>
      <c r="CSM19" s="34"/>
      <c r="CSN19" s="34"/>
      <c r="CSO19" s="34"/>
      <c r="CSP19" s="34"/>
      <c r="CSQ19" s="34"/>
      <c r="CSR19" s="34"/>
      <c r="CSS19" s="34"/>
      <c r="CST19" s="34"/>
      <c r="CSU19" s="34"/>
      <c r="CSV19" s="34"/>
      <c r="CSW19" s="34"/>
      <c r="CSX19" s="34"/>
      <c r="CSY19" s="34"/>
      <c r="CSZ19" s="34"/>
      <c r="CTA19" s="34"/>
      <c r="CTB19" s="34"/>
      <c r="CTC19" s="34"/>
      <c r="CTD19" s="34"/>
      <c r="CTE19" s="34"/>
      <c r="CTF19" s="34"/>
      <c r="CTG19" s="34"/>
      <c r="CTH19" s="34"/>
      <c r="CTI19" s="34"/>
      <c r="CTJ19" s="34"/>
      <c r="CTK19" s="34"/>
      <c r="CTL19" s="34"/>
      <c r="CTM19" s="34"/>
      <c r="CTN19" s="34"/>
      <c r="CTO19" s="34"/>
      <c r="CTP19" s="34"/>
      <c r="CTQ19" s="34"/>
      <c r="CTR19" s="34"/>
      <c r="CTS19" s="34"/>
      <c r="CTT19" s="34"/>
      <c r="CTU19" s="34"/>
      <c r="CTV19" s="34"/>
      <c r="CTW19" s="34"/>
      <c r="CTX19" s="34"/>
      <c r="CTY19" s="34"/>
      <c r="CTZ19" s="34"/>
      <c r="CUA19" s="34"/>
      <c r="CUB19" s="34"/>
      <c r="CUC19" s="34"/>
      <c r="CUD19" s="34"/>
      <c r="CUE19" s="34"/>
      <c r="CUF19" s="34"/>
      <c r="CUG19" s="34"/>
      <c r="CUH19" s="34"/>
      <c r="CUI19" s="34"/>
      <c r="CUJ19" s="34"/>
      <c r="CUK19" s="34"/>
      <c r="CUL19" s="34"/>
      <c r="CUM19" s="34"/>
      <c r="CUN19" s="34"/>
      <c r="CUO19" s="34"/>
      <c r="CUP19" s="34"/>
      <c r="CUQ19" s="34"/>
      <c r="CUR19" s="34"/>
      <c r="CUS19" s="34"/>
      <c r="CUT19" s="34"/>
      <c r="CUU19" s="34"/>
      <c r="CUV19" s="34"/>
      <c r="CUW19" s="34"/>
      <c r="CUX19" s="34"/>
      <c r="CUY19" s="34"/>
      <c r="CUZ19" s="34"/>
      <c r="CVA19" s="34"/>
      <c r="CVB19" s="34"/>
      <c r="CVC19" s="34"/>
      <c r="CVD19" s="34"/>
      <c r="CVE19" s="34"/>
      <c r="CVF19" s="34"/>
      <c r="CVG19" s="34"/>
      <c r="CVH19" s="34"/>
      <c r="CVI19" s="34"/>
      <c r="CVJ19" s="34"/>
      <c r="CVK19" s="34"/>
      <c r="CVL19" s="34"/>
      <c r="CVM19" s="34"/>
      <c r="CVN19" s="34"/>
      <c r="CVO19" s="34"/>
      <c r="CVP19" s="34"/>
      <c r="CVQ19" s="34"/>
      <c r="CVR19" s="34"/>
      <c r="CVS19" s="34"/>
      <c r="CVT19" s="34"/>
      <c r="CVU19" s="34"/>
      <c r="CVV19" s="34"/>
      <c r="CVW19" s="34"/>
      <c r="CVX19" s="34"/>
      <c r="CVY19" s="34"/>
      <c r="CVZ19" s="34"/>
      <c r="CWA19" s="34"/>
      <c r="CWB19" s="34"/>
      <c r="CWC19" s="34"/>
      <c r="CWD19" s="34"/>
      <c r="CWE19" s="34"/>
      <c r="CWF19" s="34"/>
      <c r="CWG19" s="34"/>
      <c r="CWH19" s="34"/>
      <c r="CWI19" s="34"/>
      <c r="CWJ19" s="34"/>
      <c r="CWK19" s="34"/>
      <c r="CWL19" s="34"/>
      <c r="CWM19" s="34"/>
      <c r="CWN19" s="34"/>
      <c r="CWO19" s="34"/>
      <c r="CWP19" s="34"/>
      <c r="CWQ19" s="34"/>
      <c r="CWR19" s="34"/>
      <c r="CWS19" s="34"/>
      <c r="CWT19" s="34"/>
      <c r="CWU19" s="34"/>
      <c r="CWV19" s="34"/>
      <c r="CWW19" s="34"/>
      <c r="CWX19" s="34"/>
      <c r="CWY19" s="34"/>
      <c r="CWZ19" s="34"/>
      <c r="CXA19" s="34"/>
      <c r="CXB19" s="34"/>
      <c r="CXC19" s="34"/>
      <c r="CXD19" s="34"/>
      <c r="CXE19" s="34"/>
      <c r="CXF19" s="34"/>
      <c r="CXG19" s="34"/>
      <c r="CXH19" s="34"/>
      <c r="CXI19" s="34"/>
      <c r="CXJ19" s="34"/>
      <c r="CXK19" s="34"/>
      <c r="CXL19" s="34"/>
      <c r="CXM19" s="34"/>
      <c r="CXN19" s="34"/>
      <c r="CXO19" s="34"/>
      <c r="CXP19" s="34"/>
      <c r="CXQ19" s="34"/>
      <c r="CXR19" s="34"/>
      <c r="CXS19" s="34"/>
      <c r="CXT19" s="34"/>
      <c r="CXU19" s="34"/>
      <c r="CXV19" s="34"/>
      <c r="CXW19" s="34"/>
      <c r="CXX19" s="34"/>
      <c r="CXY19" s="34"/>
      <c r="CXZ19" s="34"/>
      <c r="CYA19" s="34"/>
      <c r="CYB19" s="34"/>
      <c r="CYC19" s="34"/>
      <c r="CYD19" s="34"/>
      <c r="CYE19" s="34"/>
      <c r="CYF19" s="34"/>
      <c r="CYG19" s="34"/>
      <c r="CYH19" s="34"/>
      <c r="CYI19" s="34"/>
      <c r="CYJ19" s="34"/>
      <c r="CYK19" s="34"/>
      <c r="CYL19" s="34"/>
      <c r="CYM19" s="34"/>
      <c r="CYN19" s="34"/>
      <c r="CYO19" s="34"/>
      <c r="CYP19" s="34"/>
      <c r="CYQ19" s="34"/>
      <c r="CYR19" s="34"/>
      <c r="CYS19" s="34"/>
      <c r="CYT19" s="34"/>
      <c r="CYU19" s="34"/>
      <c r="CYV19" s="34"/>
      <c r="CYW19" s="34"/>
      <c r="CYX19" s="34"/>
      <c r="CYY19" s="34"/>
      <c r="CYZ19" s="34"/>
      <c r="CZA19" s="34"/>
      <c r="CZB19" s="34"/>
      <c r="CZC19" s="34"/>
      <c r="CZD19" s="34"/>
      <c r="CZE19" s="34"/>
      <c r="CZF19" s="34"/>
      <c r="CZG19" s="34"/>
      <c r="CZH19" s="34"/>
      <c r="CZI19" s="34"/>
      <c r="CZJ19" s="34"/>
      <c r="CZK19" s="34"/>
      <c r="CZL19" s="34"/>
      <c r="CZM19" s="34"/>
      <c r="CZN19" s="34"/>
      <c r="CZO19" s="34"/>
      <c r="CZP19" s="34"/>
      <c r="CZQ19" s="34"/>
      <c r="CZR19" s="34"/>
      <c r="CZS19" s="34"/>
      <c r="CZT19" s="34"/>
      <c r="CZU19" s="34"/>
      <c r="CZV19" s="34"/>
      <c r="CZW19" s="34"/>
      <c r="CZX19" s="34"/>
      <c r="CZY19" s="34"/>
      <c r="CZZ19" s="34"/>
      <c r="DAA19" s="34"/>
      <c r="DAB19" s="34"/>
      <c r="DAC19" s="34"/>
      <c r="DAD19" s="34"/>
      <c r="DAE19" s="34"/>
      <c r="DAF19" s="34"/>
      <c r="DAG19" s="34"/>
      <c r="DAH19" s="34"/>
      <c r="DAI19" s="34"/>
      <c r="DAJ19" s="34"/>
      <c r="DAK19" s="34"/>
      <c r="DAL19" s="34"/>
      <c r="DAM19" s="34"/>
      <c r="DAN19" s="34"/>
      <c r="DAO19" s="34"/>
      <c r="DAP19" s="34"/>
      <c r="DAQ19" s="34"/>
      <c r="DAR19" s="34"/>
      <c r="DAS19" s="34"/>
      <c r="DAT19" s="34"/>
      <c r="DAU19" s="34"/>
      <c r="DAV19" s="34"/>
      <c r="DAW19" s="34"/>
      <c r="DAX19" s="34"/>
      <c r="DAY19" s="34"/>
      <c r="DAZ19" s="34"/>
      <c r="DBA19" s="34"/>
      <c r="DBB19" s="34"/>
      <c r="DBC19" s="34"/>
      <c r="DBD19" s="34"/>
      <c r="DBE19" s="34"/>
      <c r="DBF19" s="34"/>
      <c r="DBG19" s="34"/>
      <c r="DBH19" s="34"/>
      <c r="DBI19" s="34"/>
      <c r="DBJ19" s="34"/>
      <c r="DBK19" s="34"/>
      <c r="DBL19" s="34"/>
      <c r="DBM19" s="34"/>
      <c r="DBN19" s="34"/>
      <c r="DBO19" s="34"/>
      <c r="DBP19" s="34"/>
      <c r="DBQ19" s="34"/>
      <c r="DBR19" s="34"/>
      <c r="DBS19" s="34"/>
      <c r="DBT19" s="34"/>
      <c r="DBU19" s="34"/>
      <c r="DBV19" s="34"/>
      <c r="DBW19" s="34"/>
      <c r="DBX19" s="34"/>
      <c r="DBY19" s="34"/>
      <c r="DBZ19" s="34"/>
      <c r="DCA19" s="34"/>
      <c r="DCB19" s="34"/>
      <c r="DCC19" s="34"/>
      <c r="DCD19" s="34"/>
      <c r="DCE19" s="34"/>
      <c r="DCF19" s="34"/>
      <c r="DCG19" s="34"/>
      <c r="DCH19" s="34"/>
      <c r="DCI19" s="34"/>
      <c r="DCJ19" s="34"/>
      <c r="DCK19" s="34"/>
      <c r="DCL19" s="34"/>
      <c r="DCM19" s="34"/>
      <c r="DCN19" s="34"/>
      <c r="DCO19" s="34"/>
      <c r="DCP19" s="34"/>
      <c r="DCQ19" s="34"/>
      <c r="DCR19" s="34"/>
      <c r="DCS19" s="34"/>
      <c r="DCT19" s="34"/>
      <c r="DCU19" s="34"/>
      <c r="DCV19" s="34"/>
      <c r="DCW19" s="34"/>
      <c r="DCX19" s="34"/>
      <c r="DCY19" s="34"/>
      <c r="DCZ19" s="34"/>
      <c r="DDA19" s="34"/>
      <c r="DDB19" s="34"/>
      <c r="DDC19" s="34"/>
      <c r="DDD19" s="34"/>
      <c r="DDE19" s="34"/>
      <c r="DDF19" s="34"/>
      <c r="DDG19" s="34"/>
      <c r="DDH19" s="34"/>
      <c r="DDI19" s="34"/>
      <c r="DDJ19" s="34"/>
      <c r="DDK19" s="34"/>
      <c r="DDL19" s="34"/>
      <c r="DDM19" s="34"/>
      <c r="DDN19" s="34"/>
      <c r="DDO19" s="34"/>
      <c r="DDP19" s="34"/>
      <c r="DDQ19" s="34"/>
      <c r="DDR19" s="34"/>
      <c r="DDS19" s="34"/>
      <c r="DDT19" s="34"/>
      <c r="DDU19" s="34"/>
      <c r="DDV19" s="34"/>
      <c r="DDW19" s="34"/>
      <c r="DDX19" s="34"/>
      <c r="DDY19" s="34"/>
      <c r="DDZ19" s="34"/>
      <c r="DEA19" s="34"/>
      <c r="DEB19" s="34"/>
      <c r="DEC19" s="34"/>
      <c r="DED19" s="34"/>
      <c r="DEE19" s="34"/>
      <c r="DEF19" s="34"/>
      <c r="DEG19" s="34"/>
      <c r="DEH19" s="34"/>
      <c r="DEI19" s="34"/>
      <c r="DEJ19" s="34"/>
      <c r="DEK19" s="34"/>
      <c r="DEL19" s="34"/>
      <c r="DEM19" s="34"/>
      <c r="DEN19" s="34"/>
      <c r="DEO19" s="34"/>
      <c r="DEP19" s="34"/>
      <c r="DEQ19" s="34"/>
      <c r="DER19" s="34"/>
      <c r="DES19" s="34"/>
      <c r="DET19" s="34"/>
      <c r="DEU19" s="34"/>
      <c r="DEV19" s="34"/>
      <c r="DEW19" s="34"/>
      <c r="DEX19" s="34"/>
      <c r="DEY19" s="34"/>
      <c r="DEZ19" s="34"/>
      <c r="DFA19" s="34"/>
      <c r="DFB19" s="34"/>
      <c r="DFC19" s="34"/>
      <c r="DFD19" s="34"/>
      <c r="DFE19" s="34"/>
      <c r="DFF19" s="34"/>
      <c r="DFG19" s="34"/>
      <c r="DFH19" s="34"/>
      <c r="DFI19" s="34"/>
      <c r="DFJ19" s="34"/>
      <c r="DFK19" s="34"/>
      <c r="DFL19" s="34"/>
      <c r="DFM19" s="34"/>
      <c r="DFN19" s="34"/>
      <c r="DFO19" s="34"/>
      <c r="DFP19" s="34"/>
      <c r="DFQ19" s="34"/>
      <c r="DFR19" s="34"/>
      <c r="DFS19" s="34"/>
      <c r="DFT19" s="34"/>
      <c r="DFU19" s="34"/>
      <c r="DFV19" s="34"/>
      <c r="DFW19" s="34"/>
      <c r="DFX19" s="34"/>
      <c r="DFY19" s="34"/>
      <c r="DFZ19" s="34"/>
      <c r="DGA19" s="34"/>
      <c r="DGB19" s="34"/>
      <c r="DGC19" s="34"/>
      <c r="DGD19" s="34"/>
      <c r="DGE19" s="34"/>
      <c r="DGF19" s="34"/>
      <c r="DGG19" s="34"/>
      <c r="DGH19" s="34"/>
      <c r="DGI19" s="34"/>
      <c r="DGJ19" s="34"/>
      <c r="DGK19" s="34"/>
      <c r="DGL19" s="34"/>
      <c r="DGM19" s="34"/>
      <c r="DGN19" s="34"/>
      <c r="DGO19" s="34"/>
      <c r="DGP19" s="34"/>
      <c r="DGQ19" s="34"/>
      <c r="DGR19" s="34"/>
      <c r="DGS19" s="34"/>
      <c r="DGT19" s="34"/>
      <c r="DGU19" s="34"/>
      <c r="DGV19" s="34"/>
      <c r="DGW19" s="34"/>
      <c r="DGX19" s="34"/>
      <c r="DGY19" s="34"/>
      <c r="DGZ19" s="34"/>
      <c r="DHA19" s="34"/>
      <c r="DHB19" s="34"/>
      <c r="DHC19" s="34"/>
      <c r="DHD19" s="34"/>
      <c r="DHE19" s="34"/>
      <c r="DHF19" s="34"/>
      <c r="DHG19" s="34"/>
      <c r="DHH19" s="34"/>
      <c r="DHI19" s="34"/>
      <c r="DHJ19" s="34"/>
      <c r="DHK19" s="34"/>
      <c r="DHL19" s="34"/>
      <c r="DHM19" s="34"/>
      <c r="DHN19" s="34"/>
      <c r="DHO19" s="34"/>
      <c r="DHP19" s="34"/>
      <c r="DHQ19" s="34"/>
      <c r="DHR19" s="34"/>
      <c r="DHS19" s="34"/>
      <c r="DHT19" s="34"/>
      <c r="DHU19" s="34"/>
      <c r="DHV19" s="34"/>
    </row>
    <row r="20" spans="1:2934" s="32" customFormat="1" ht="24" customHeight="1" x14ac:dyDescent="0.35">
      <c r="A20" s="40">
        <v>16</v>
      </c>
      <c r="B20" s="110"/>
      <c r="C20" s="110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7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41">
        <f t="shared" si="2"/>
        <v>0</v>
      </c>
      <c r="AJ20" s="31">
        <v>44545</v>
      </c>
      <c r="AK20" s="19"/>
      <c r="AL20" s="95"/>
      <c r="AM20" s="22">
        <f>AI20*(AL6-10)</f>
        <v>0</v>
      </c>
      <c r="AN20" s="49">
        <f t="shared" si="1"/>
        <v>0</v>
      </c>
      <c r="AO20" s="30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  <c r="CQ20" s="33"/>
      <c r="CR20" s="33"/>
      <c r="CS20" s="33"/>
      <c r="CT20" s="33"/>
      <c r="CU20" s="33"/>
      <c r="CV20" s="33"/>
      <c r="CW20" s="33"/>
      <c r="CX20" s="33"/>
      <c r="CY20" s="33"/>
      <c r="CZ20" s="33"/>
      <c r="DA20" s="33"/>
      <c r="DB20" s="33"/>
      <c r="DC20" s="33"/>
      <c r="DD20" s="33"/>
      <c r="DE20" s="33"/>
      <c r="DF20" s="33"/>
      <c r="DG20" s="33"/>
      <c r="DH20" s="33"/>
      <c r="DI20" s="33"/>
      <c r="DJ20" s="33"/>
      <c r="DK20" s="33"/>
      <c r="DL20" s="33"/>
      <c r="DM20" s="33"/>
      <c r="DN20" s="33"/>
      <c r="DO20" s="33"/>
      <c r="DP20" s="33"/>
      <c r="DQ20" s="33"/>
      <c r="DR20" s="33"/>
      <c r="DS20" s="33"/>
      <c r="DT20" s="33"/>
      <c r="DU20" s="33"/>
      <c r="DV20" s="33"/>
      <c r="DW20" s="33"/>
      <c r="DX20" s="33"/>
      <c r="DY20" s="33"/>
      <c r="DZ20" s="33"/>
      <c r="EA20" s="33"/>
      <c r="EB20" s="33"/>
      <c r="EC20" s="33"/>
      <c r="ED20" s="33"/>
      <c r="EE20" s="33"/>
      <c r="EF20" s="33"/>
      <c r="EG20" s="33"/>
      <c r="EH20" s="33"/>
      <c r="EI20" s="33"/>
      <c r="EJ20" s="33"/>
      <c r="EK20" s="33"/>
      <c r="EL20" s="33"/>
      <c r="EM20" s="33"/>
      <c r="EN20" s="33"/>
      <c r="EO20" s="33"/>
      <c r="EP20" s="33"/>
      <c r="EQ20" s="33"/>
      <c r="ER20" s="33"/>
      <c r="ES20" s="33"/>
      <c r="ET20" s="33"/>
      <c r="EU20" s="33"/>
      <c r="EV20" s="33"/>
      <c r="EW20" s="33"/>
      <c r="EX20" s="33"/>
      <c r="EY20" s="33"/>
      <c r="EZ20" s="33"/>
      <c r="FA20" s="33"/>
      <c r="FB20" s="33"/>
      <c r="FC20" s="33"/>
      <c r="FD20" s="33"/>
      <c r="FE20" s="33"/>
      <c r="FF20" s="33"/>
      <c r="FG20" s="33"/>
      <c r="FH20" s="33"/>
      <c r="FI20" s="33"/>
      <c r="FJ20" s="33"/>
      <c r="FK20" s="33"/>
      <c r="FL20" s="33"/>
      <c r="FM20" s="33"/>
      <c r="FN20" s="33"/>
      <c r="FO20" s="33"/>
      <c r="FP20" s="33"/>
      <c r="FQ20" s="33"/>
      <c r="FR20" s="33"/>
      <c r="FS20" s="33"/>
      <c r="FT20" s="33"/>
      <c r="FU20" s="33"/>
      <c r="FV20" s="33"/>
      <c r="FW20" s="33"/>
      <c r="FX20" s="33"/>
      <c r="FY20" s="33"/>
      <c r="FZ20" s="33"/>
      <c r="GA20" s="33"/>
      <c r="GB20" s="33"/>
      <c r="GC20" s="33"/>
      <c r="GD20" s="33"/>
      <c r="GE20" s="33"/>
      <c r="GF20" s="33"/>
      <c r="GG20" s="33"/>
      <c r="GH20" s="33"/>
      <c r="GI20" s="33"/>
      <c r="GJ20" s="33"/>
      <c r="GK20" s="33"/>
      <c r="GL20" s="33"/>
      <c r="GM20" s="33"/>
      <c r="GN20" s="33"/>
      <c r="GO20" s="33"/>
      <c r="GP20" s="33"/>
      <c r="GQ20" s="33"/>
      <c r="GR20" s="33"/>
      <c r="GS20" s="33"/>
      <c r="GT20" s="33"/>
      <c r="GU20" s="33"/>
      <c r="GV20" s="33"/>
      <c r="GW20" s="33"/>
      <c r="GX20" s="33"/>
      <c r="GY20" s="33"/>
      <c r="GZ20" s="33"/>
      <c r="HA20" s="33"/>
      <c r="HB20" s="33"/>
      <c r="HC20" s="33"/>
      <c r="HD20" s="33"/>
      <c r="HE20" s="33"/>
      <c r="HF20" s="33"/>
      <c r="HG20" s="33"/>
      <c r="HH20" s="33"/>
      <c r="HI20" s="33"/>
      <c r="HJ20" s="33"/>
      <c r="HK20" s="33"/>
      <c r="HL20" s="33"/>
      <c r="HM20" s="33"/>
      <c r="HN20" s="33"/>
      <c r="HO20" s="33"/>
      <c r="HP20" s="33"/>
      <c r="HQ20" s="33"/>
      <c r="HR20" s="33"/>
      <c r="HS20" s="33"/>
      <c r="HT20" s="33"/>
      <c r="HU20" s="33"/>
      <c r="HV20" s="33"/>
      <c r="HW20" s="33"/>
      <c r="HX20" s="33"/>
      <c r="HY20" s="33"/>
      <c r="HZ20" s="33"/>
      <c r="IA20" s="33"/>
      <c r="IB20" s="33"/>
      <c r="IC20" s="33"/>
      <c r="ID20" s="33"/>
      <c r="IE20" s="33"/>
      <c r="IF20" s="33"/>
      <c r="IG20" s="33"/>
      <c r="IH20" s="33"/>
      <c r="II20" s="33"/>
      <c r="IJ20" s="33"/>
      <c r="IK20" s="33"/>
      <c r="IL20" s="33"/>
      <c r="IM20" s="33"/>
      <c r="IN20" s="33"/>
      <c r="IO20" s="33"/>
      <c r="IP20" s="33"/>
      <c r="IQ20" s="33"/>
      <c r="IR20" s="33"/>
      <c r="IS20" s="33"/>
      <c r="IT20" s="33"/>
      <c r="IU20" s="33"/>
      <c r="IV20" s="33"/>
      <c r="IW20" s="33"/>
      <c r="IX20" s="33"/>
      <c r="IY20" s="33"/>
      <c r="IZ20" s="33"/>
      <c r="JA20" s="33"/>
      <c r="JB20" s="33"/>
      <c r="JC20" s="33"/>
      <c r="JD20" s="33"/>
      <c r="JE20" s="33"/>
      <c r="JF20" s="33"/>
      <c r="JG20" s="33"/>
      <c r="JH20" s="33"/>
      <c r="JI20" s="33"/>
      <c r="JJ20" s="33"/>
      <c r="JK20" s="33"/>
      <c r="JL20" s="33"/>
      <c r="JM20" s="33"/>
      <c r="JN20" s="33"/>
      <c r="JO20" s="33"/>
      <c r="JP20" s="33"/>
      <c r="JQ20" s="33"/>
      <c r="JR20" s="33"/>
      <c r="JS20" s="33"/>
      <c r="JT20" s="33"/>
      <c r="JU20" s="33"/>
      <c r="JV20" s="33"/>
      <c r="JW20" s="33"/>
      <c r="JX20" s="33"/>
      <c r="JY20" s="33"/>
      <c r="JZ20" s="33"/>
      <c r="KA20" s="33"/>
      <c r="KB20" s="33"/>
      <c r="KC20" s="33"/>
      <c r="KD20" s="33"/>
      <c r="KE20" s="33"/>
      <c r="KF20" s="33"/>
      <c r="KG20" s="33"/>
      <c r="KH20" s="33"/>
      <c r="KI20" s="33"/>
      <c r="KJ20" s="33"/>
      <c r="KK20" s="33"/>
      <c r="KL20" s="33"/>
      <c r="KM20" s="33"/>
      <c r="KN20" s="33"/>
      <c r="KO20" s="33"/>
      <c r="KP20" s="33"/>
      <c r="KQ20" s="33"/>
      <c r="KR20" s="33"/>
      <c r="KS20" s="33"/>
      <c r="KT20" s="33"/>
      <c r="KU20" s="33"/>
      <c r="KV20" s="33"/>
      <c r="KW20" s="33"/>
      <c r="KX20" s="33"/>
      <c r="KY20" s="33"/>
      <c r="KZ20" s="33"/>
      <c r="LA20" s="33"/>
      <c r="LB20" s="33"/>
      <c r="LC20" s="33"/>
      <c r="LD20" s="33"/>
      <c r="LE20" s="33"/>
      <c r="LF20" s="33"/>
      <c r="LG20" s="33"/>
      <c r="LH20" s="33"/>
      <c r="LI20" s="33"/>
      <c r="LJ20" s="33"/>
      <c r="LK20" s="33"/>
      <c r="LL20" s="33"/>
      <c r="LM20" s="33"/>
      <c r="LN20" s="33"/>
      <c r="LO20" s="33"/>
      <c r="LP20" s="33"/>
      <c r="LQ20" s="33"/>
      <c r="LR20" s="33"/>
      <c r="LS20" s="33"/>
      <c r="LT20" s="33"/>
      <c r="LU20" s="33"/>
      <c r="LV20" s="33"/>
      <c r="LW20" s="33"/>
      <c r="LX20" s="33"/>
      <c r="LY20" s="33"/>
      <c r="LZ20" s="33"/>
      <c r="MA20" s="33"/>
      <c r="MB20" s="33"/>
      <c r="MC20" s="33"/>
      <c r="MD20" s="33"/>
      <c r="ME20" s="33"/>
      <c r="MF20" s="33"/>
      <c r="MG20" s="33"/>
      <c r="MH20" s="33"/>
      <c r="MI20" s="33"/>
      <c r="MJ20" s="33"/>
      <c r="MK20" s="33"/>
      <c r="ML20" s="33"/>
      <c r="MM20" s="33"/>
      <c r="MN20" s="33"/>
      <c r="MO20" s="33"/>
      <c r="MP20" s="33"/>
      <c r="MQ20" s="33"/>
      <c r="MR20" s="33"/>
      <c r="MS20" s="33"/>
      <c r="MT20" s="33"/>
      <c r="MU20" s="33"/>
      <c r="MV20" s="33"/>
      <c r="MW20" s="33"/>
      <c r="MX20" s="33"/>
      <c r="MY20" s="33"/>
      <c r="MZ20" s="33"/>
      <c r="NA20" s="33"/>
      <c r="NB20" s="33"/>
      <c r="NC20" s="33"/>
      <c r="ND20" s="33"/>
      <c r="NE20" s="33"/>
      <c r="NF20" s="33"/>
      <c r="NG20" s="33"/>
      <c r="NH20" s="33"/>
      <c r="NI20" s="33"/>
      <c r="NJ20" s="33"/>
      <c r="NK20" s="33"/>
      <c r="NL20" s="33"/>
      <c r="NM20" s="33"/>
      <c r="NN20" s="33"/>
      <c r="NO20" s="33"/>
      <c r="NP20" s="33"/>
      <c r="NQ20" s="33"/>
      <c r="NR20" s="33"/>
      <c r="NS20" s="33"/>
      <c r="NT20" s="33"/>
      <c r="NU20" s="33"/>
      <c r="NV20" s="33"/>
      <c r="NW20" s="33"/>
      <c r="NX20" s="33"/>
      <c r="NY20" s="33"/>
      <c r="NZ20" s="33"/>
      <c r="OA20" s="33"/>
      <c r="OB20" s="33"/>
      <c r="OC20" s="33"/>
      <c r="OD20" s="33"/>
      <c r="OE20" s="33"/>
      <c r="OF20" s="33"/>
      <c r="OG20" s="33"/>
      <c r="OH20" s="33"/>
      <c r="OI20" s="33"/>
      <c r="OJ20" s="33"/>
      <c r="OK20" s="33"/>
      <c r="OL20" s="33"/>
      <c r="OM20" s="33"/>
      <c r="ON20" s="33"/>
      <c r="OO20" s="33"/>
      <c r="OP20" s="33"/>
      <c r="OQ20" s="33"/>
      <c r="OR20" s="33"/>
      <c r="OS20" s="33"/>
      <c r="OT20" s="33"/>
      <c r="OU20" s="33"/>
      <c r="OV20" s="33"/>
      <c r="OW20" s="33"/>
      <c r="OX20" s="33"/>
      <c r="OY20" s="33"/>
      <c r="OZ20" s="33"/>
      <c r="PA20" s="33"/>
      <c r="PB20" s="33"/>
      <c r="PC20" s="33"/>
      <c r="PD20" s="33"/>
      <c r="PE20" s="33"/>
      <c r="PF20" s="33"/>
      <c r="PG20" s="33"/>
      <c r="PH20" s="33"/>
      <c r="PI20" s="33"/>
      <c r="PJ20" s="33"/>
      <c r="PK20" s="33"/>
      <c r="PL20" s="33"/>
      <c r="PM20" s="33"/>
      <c r="PN20" s="33"/>
      <c r="PO20" s="33"/>
      <c r="PP20" s="33"/>
      <c r="PQ20" s="33"/>
      <c r="PR20" s="33"/>
      <c r="PS20" s="33"/>
      <c r="PT20" s="33"/>
      <c r="PU20" s="33"/>
      <c r="PV20" s="33"/>
      <c r="PW20" s="33"/>
      <c r="PX20" s="33"/>
      <c r="PY20" s="33"/>
      <c r="PZ20" s="33"/>
      <c r="QA20" s="33"/>
      <c r="QB20" s="33"/>
      <c r="QC20" s="33"/>
      <c r="QD20" s="33"/>
      <c r="QE20" s="33"/>
      <c r="QF20" s="33"/>
      <c r="QG20" s="33"/>
      <c r="QH20" s="33"/>
      <c r="QI20" s="33"/>
      <c r="QJ20" s="33"/>
      <c r="QK20" s="33"/>
      <c r="QL20" s="33"/>
      <c r="QM20" s="33"/>
      <c r="QN20" s="33"/>
      <c r="QO20" s="33"/>
      <c r="QP20" s="33"/>
      <c r="QQ20" s="33"/>
      <c r="QR20" s="33"/>
      <c r="QS20" s="33"/>
      <c r="QT20" s="33"/>
      <c r="QU20" s="33"/>
      <c r="QV20" s="33"/>
      <c r="QW20" s="33"/>
      <c r="QX20" s="33"/>
      <c r="QY20" s="33"/>
      <c r="QZ20" s="33"/>
      <c r="RA20" s="33"/>
      <c r="RB20" s="33"/>
      <c r="RC20" s="33"/>
      <c r="RD20" s="33"/>
      <c r="RE20" s="33"/>
      <c r="RF20" s="33"/>
      <c r="RG20" s="33"/>
      <c r="RH20" s="33"/>
      <c r="RI20" s="33"/>
      <c r="RJ20" s="33"/>
      <c r="RK20" s="33"/>
      <c r="RL20" s="33"/>
      <c r="RM20" s="33"/>
      <c r="RN20" s="33"/>
      <c r="RO20" s="33"/>
      <c r="RP20" s="33"/>
      <c r="RQ20" s="33"/>
      <c r="RR20" s="33"/>
      <c r="RS20" s="33"/>
      <c r="RT20" s="33"/>
      <c r="RU20" s="33"/>
      <c r="RV20" s="33"/>
      <c r="RW20" s="33"/>
      <c r="RX20" s="33"/>
      <c r="RY20" s="33"/>
      <c r="RZ20" s="33"/>
      <c r="SA20" s="33"/>
      <c r="SB20" s="33"/>
      <c r="SC20" s="33"/>
      <c r="SD20" s="33"/>
      <c r="SE20" s="33"/>
      <c r="SF20" s="33"/>
      <c r="SG20" s="33"/>
      <c r="SH20" s="33"/>
      <c r="SI20" s="33"/>
      <c r="SJ20" s="33"/>
      <c r="SK20" s="33"/>
      <c r="SL20" s="33"/>
      <c r="SM20" s="33"/>
      <c r="SN20" s="33"/>
      <c r="SO20" s="33"/>
      <c r="SP20" s="33"/>
      <c r="SQ20" s="33"/>
      <c r="SR20" s="33"/>
      <c r="SS20" s="33"/>
      <c r="ST20" s="33"/>
      <c r="SU20" s="33"/>
      <c r="SV20" s="33"/>
      <c r="SW20" s="33"/>
      <c r="SX20" s="33"/>
      <c r="SY20" s="33"/>
      <c r="SZ20" s="33"/>
      <c r="TA20" s="33"/>
      <c r="TB20" s="33"/>
      <c r="TC20" s="33"/>
      <c r="TD20" s="33"/>
      <c r="TE20" s="33"/>
      <c r="TF20" s="33"/>
      <c r="TG20" s="33"/>
      <c r="TH20" s="33"/>
      <c r="TI20" s="33"/>
      <c r="TJ20" s="33"/>
      <c r="TK20" s="33"/>
      <c r="TL20" s="33"/>
      <c r="TM20" s="33"/>
      <c r="TN20" s="33"/>
      <c r="TO20" s="33"/>
      <c r="TP20" s="33"/>
      <c r="TQ20" s="33"/>
      <c r="TR20" s="33"/>
      <c r="TS20" s="33"/>
      <c r="TT20" s="33"/>
      <c r="TU20" s="33"/>
      <c r="TV20" s="33"/>
      <c r="TW20" s="33"/>
      <c r="TX20" s="33"/>
      <c r="TY20" s="33"/>
      <c r="TZ20" s="33"/>
      <c r="UA20" s="33"/>
      <c r="UB20" s="33"/>
      <c r="UC20" s="33"/>
      <c r="UD20" s="33"/>
      <c r="UE20" s="33"/>
      <c r="UF20" s="33"/>
      <c r="UG20" s="33"/>
      <c r="UH20" s="33"/>
      <c r="UI20" s="33"/>
      <c r="UJ20" s="33"/>
      <c r="UK20" s="33"/>
      <c r="UL20" s="33"/>
      <c r="UM20" s="33"/>
      <c r="UN20" s="33"/>
      <c r="UO20" s="33"/>
      <c r="UP20" s="33"/>
      <c r="UQ20" s="33"/>
      <c r="UR20" s="33"/>
      <c r="US20" s="33"/>
      <c r="UT20" s="33"/>
      <c r="UU20" s="33"/>
      <c r="UV20" s="33"/>
      <c r="UW20" s="33"/>
      <c r="UX20" s="33"/>
      <c r="UY20" s="33"/>
      <c r="UZ20" s="33"/>
      <c r="VA20" s="33"/>
      <c r="VB20" s="33"/>
      <c r="VC20" s="33"/>
      <c r="VD20" s="33"/>
      <c r="VE20" s="33"/>
      <c r="VF20" s="33"/>
      <c r="VG20" s="33"/>
      <c r="VH20" s="33"/>
      <c r="VI20" s="33"/>
      <c r="VJ20" s="33"/>
      <c r="VK20" s="33"/>
      <c r="VL20" s="33"/>
      <c r="VM20" s="33"/>
      <c r="VN20" s="33"/>
      <c r="VO20" s="33"/>
      <c r="VP20" s="33"/>
      <c r="VQ20" s="33"/>
      <c r="VR20" s="33"/>
      <c r="VS20" s="33"/>
      <c r="VT20" s="33"/>
      <c r="VU20" s="33"/>
      <c r="VV20" s="33"/>
      <c r="VW20" s="33"/>
      <c r="VX20" s="33"/>
      <c r="VY20" s="33"/>
      <c r="VZ20" s="33"/>
      <c r="WA20" s="33"/>
      <c r="WB20" s="33"/>
      <c r="WC20" s="33"/>
      <c r="WD20" s="33"/>
      <c r="WE20" s="33"/>
      <c r="WF20" s="33"/>
      <c r="WG20" s="33"/>
      <c r="WH20" s="33"/>
      <c r="WI20" s="33"/>
      <c r="WJ20" s="33"/>
      <c r="WK20" s="33"/>
      <c r="WL20" s="33"/>
      <c r="WM20" s="33"/>
      <c r="WN20" s="33"/>
      <c r="WO20" s="33"/>
      <c r="WP20" s="33"/>
      <c r="WQ20" s="33"/>
      <c r="WR20" s="33"/>
      <c r="WS20" s="33"/>
      <c r="WT20" s="33"/>
      <c r="WU20" s="33"/>
      <c r="WV20" s="33"/>
      <c r="WW20" s="33"/>
      <c r="WX20" s="33"/>
      <c r="WY20" s="33"/>
      <c r="WZ20" s="33"/>
      <c r="XA20" s="33"/>
      <c r="XB20" s="33"/>
      <c r="XC20" s="33"/>
      <c r="XD20" s="33"/>
      <c r="XE20" s="33"/>
      <c r="XF20" s="33"/>
      <c r="XG20" s="33"/>
      <c r="XH20" s="33"/>
      <c r="XI20" s="33"/>
      <c r="XJ20" s="33"/>
      <c r="XK20" s="33"/>
      <c r="XL20" s="33"/>
      <c r="XM20" s="33"/>
      <c r="XN20" s="33"/>
      <c r="XO20" s="33"/>
      <c r="XP20" s="33"/>
      <c r="XQ20" s="33"/>
      <c r="XR20" s="33"/>
      <c r="XS20" s="33"/>
      <c r="XT20" s="33"/>
      <c r="XU20" s="33"/>
      <c r="XV20" s="33"/>
      <c r="XW20" s="33"/>
      <c r="XX20" s="33"/>
      <c r="XY20" s="33"/>
      <c r="XZ20" s="33"/>
      <c r="YA20" s="33"/>
      <c r="YB20" s="33"/>
      <c r="YC20" s="33"/>
      <c r="YD20" s="33"/>
      <c r="YE20" s="33"/>
      <c r="YF20" s="33"/>
      <c r="YG20" s="33"/>
      <c r="YH20" s="33"/>
      <c r="YI20" s="33"/>
      <c r="YJ20" s="33"/>
      <c r="YK20" s="33"/>
      <c r="YL20" s="33"/>
      <c r="YM20" s="33"/>
      <c r="YN20" s="33"/>
      <c r="YO20" s="33"/>
      <c r="YP20" s="33"/>
      <c r="YQ20" s="33"/>
      <c r="YR20" s="33"/>
      <c r="YS20" s="33"/>
      <c r="YT20" s="33"/>
      <c r="YU20" s="33"/>
      <c r="YV20" s="33"/>
      <c r="YW20" s="33"/>
      <c r="YX20" s="33"/>
      <c r="YY20" s="33"/>
      <c r="YZ20" s="33"/>
      <c r="ZA20" s="33"/>
      <c r="ZB20" s="33"/>
      <c r="ZC20" s="33"/>
      <c r="ZD20" s="33"/>
      <c r="ZE20" s="33"/>
      <c r="ZF20" s="33"/>
      <c r="ZG20" s="33"/>
      <c r="ZH20" s="33"/>
      <c r="ZI20" s="33"/>
      <c r="ZJ20" s="33"/>
      <c r="ZK20" s="33"/>
      <c r="ZL20" s="33"/>
      <c r="ZM20" s="33"/>
      <c r="ZN20" s="33"/>
      <c r="ZO20" s="33"/>
      <c r="ZP20" s="33"/>
      <c r="ZQ20" s="33"/>
      <c r="ZR20" s="33"/>
      <c r="ZS20" s="33"/>
      <c r="ZT20" s="33"/>
      <c r="ZU20" s="33"/>
      <c r="ZV20" s="33"/>
      <c r="ZW20" s="33"/>
      <c r="ZX20" s="33"/>
      <c r="ZY20" s="33"/>
      <c r="ZZ20" s="33"/>
      <c r="AAA20" s="33"/>
      <c r="AAB20" s="33"/>
      <c r="AAC20" s="33"/>
      <c r="AAD20" s="33"/>
      <c r="AAE20" s="33"/>
      <c r="AAF20" s="33"/>
      <c r="AAG20" s="33"/>
      <c r="AAH20" s="33"/>
      <c r="AAI20" s="33"/>
      <c r="AAJ20" s="33"/>
      <c r="AAK20" s="33"/>
      <c r="AAL20" s="33"/>
      <c r="AAM20" s="33"/>
      <c r="AAN20" s="33"/>
      <c r="AAO20" s="33"/>
      <c r="AAP20" s="33"/>
      <c r="AAQ20" s="33"/>
      <c r="AAR20" s="33"/>
      <c r="AAS20" s="33"/>
      <c r="AAT20" s="33"/>
      <c r="AAU20" s="33"/>
      <c r="AAV20" s="33"/>
      <c r="AAW20" s="33"/>
      <c r="AAX20" s="33"/>
      <c r="AAY20" s="33"/>
      <c r="AAZ20" s="33"/>
      <c r="ABA20" s="33"/>
      <c r="ABB20" s="33"/>
      <c r="ABC20" s="33"/>
      <c r="ABD20" s="33"/>
      <c r="ABE20" s="33"/>
      <c r="ABF20" s="33"/>
      <c r="ABG20" s="33"/>
      <c r="ABH20" s="33"/>
      <c r="ABI20" s="33"/>
      <c r="ABJ20" s="33"/>
      <c r="ABK20" s="33"/>
      <c r="ABL20" s="33"/>
      <c r="ABM20" s="33"/>
      <c r="ABN20" s="33"/>
      <c r="ABO20" s="33"/>
      <c r="ABP20" s="33"/>
      <c r="ABQ20" s="33"/>
      <c r="ABR20" s="33"/>
      <c r="ABS20" s="33"/>
      <c r="ABT20" s="33"/>
      <c r="ABU20" s="33"/>
      <c r="ABV20" s="33"/>
      <c r="ABW20" s="33"/>
      <c r="ABX20" s="33"/>
      <c r="ABY20" s="33"/>
      <c r="ABZ20" s="33"/>
      <c r="ACA20" s="33"/>
      <c r="ACB20" s="33"/>
      <c r="ACC20" s="33"/>
      <c r="ACD20" s="33"/>
      <c r="ACE20" s="33"/>
      <c r="ACF20" s="33"/>
      <c r="ACG20" s="33"/>
      <c r="ACH20" s="33"/>
      <c r="ACI20" s="33"/>
      <c r="ACJ20" s="33"/>
      <c r="ACK20" s="33"/>
      <c r="ACL20" s="33"/>
      <c r="ACM20" s="33"/>
      <c r="ACN20" s="33"/>
      <c r="ACO20" s="33"/>
      <c r="ACP20" s="33"/>
      <c r="ACQ20" s="33"/>
      <c r="ACR20" s="33"/>
      <c r="ACS20" s="33"/>
      <c r="ACT20" s="33"/>
      <c r="ACU20" s="33"/>
      <c r="ACV20" s="33"/>
      <c r="ACW20" s="33"/>
      <c r="ACX20" s="33"/>
      <c r="ACY20" s="33"/>
      <c r="ACZ20" s="33"/>
      <c r="ADA20" s="33"/>
      <c r="ADB20" s="33"/>
      <c r="ADC20" s="33"/>
      <c r="ADD20" s="33"/>
      <c r="ADE20" s="33"/>
      <c r="ADF20" s="33"/>
      <c r="ADG20" s="33"/>
      <c r="ADH20" s="33"/>
      <c r="ADI20" s="33"/>
      <c r="ADJ20" s="33"/>
      <c r="ADK20" s="33"/>
      <c r="ADL20" s="33"/>
      <c r="ADM20" s="33"/>
      <c r="ADN20" s="33"/>
      <c r="ADO20" s="33"/>
      <c r="ADP20" s="33"/>
      <c r="ADQ20" s="33"/>
      <c r="ADR20" s="33"/>
      <c r="ADS20" s="33"/>
      <c r="ADT20" s="33"/>
      <c r="ADU20" s="33"/>
      <c r="ADV20" s="33"/>
      <c r="ADW20" s="33"/>
      <c r="ADX20" s="33"/>
      <c r="ADY20" s="33"/>
      <c r="ADZ20" s="33"/>
      <c r="AEA20" s="33"/>
      <c r="AEB20" s="33"/>
      <c r="AEC20" s="33"/>
      <c r="AED20" s="33"/>
      <c r="AEE20" s="33"/>
      <c r="AEF20" s="33"/>
      <c r="AEG20" s="33"/>
      <c r="AEH20" s="33"/>
      <c r="AEI20" s="33"/>
      <c r="AEJ20" s="33"/>
      <c r="AEK20" s="33"/>
      <c r="AEL20" s="33"/>
      <c r="AEM20" s="33"/>
      <c r="AEN20" s="33"/>
      <c r="AEO20" s="33"/>
      <c r="AEP20" s="33"/>
      <c r="AEQ20" s="33"/>
      <c r="AER20" s="33"/>
      <c r="AES20" s="33"/>
      <c r="AET20" s="33"/>
      <c r="AEU20" s="33"/>
      <c r="AEV20" s="33"/>
      <c r="AEW20" s="33"/>
      <c r="AEX20" s="33"/>
      <c r="AEY20" s="33"/>
      <c r="AEZ20" s="33"/>
      <c r="AFA20" s="33"/>
      <c r="AFB20" s="33"/>
      <c r="AFC20" s="33"/>
      <c r="AFD20" s="33"/>
      <c r="AFE20" s="33"/>
      <c r="AFF20" s="33"/>
      <c r="AFG20" s="33"/>
      <c r="AFH20" s="33"/>
      <c r="AFI20" s="33"/>
      <c r="AFJ20" s="33"/>
      <c r="AFK20" s="33"/>
      <c r="AFL20" s="33"/>
      <c r="AFM20" s="33"/>
      <c r="AFN20" s="33"/>
      <c r="AFO20" s="33"/>
      <c r="AFP20" s="33"/>
      <c r="AFQ20" s="33"/>
      <c r="AFR20" s="33"/>
      <c r="AFS20" s="33"/>
      <c r="AFT20" s="33"/>
      <c r="AFU20" s="33"/>
      <c r="AFV20" s="33"/>
      <c r="AFW20" s="33"/>
      <c r="AFX20" s="33"/>
      <c r="AFY20" s="33"/>
      <c r="AFZ20" s="33"/>
      <c r="AGA20" s="33"/>
      <c r="AGB20" s="33"/>
      <c r="AGC20" s="33"/>
      <c r="AGD20" s="33"/>
      <c r="AGE20" s="33"/>
      <c r="AGF20" s="33"/>
      <c r="AGG20" s="33"/>
      <c r="AGH20" s="33"/>
      <c r="AGI20" s="33"/>
      <c r="AGJ20" s="33"/>
      <c r="AGK20" s="33"/>
      <c r="AGL20" s="33"/>
      <c r="AGM20" s="33"/>
      <c r="AGN20" s="33"/>
      <c r="AGO20" s="33"/>
      <c r="AGP20" s="33"/>
      <c r="AGQ20" s="33"/>
      <c r="AGR20" s="33"/>
      <c r="AGS20" s="33"/>
      <c r="AGT20" s="33"/>
      <c r="AGU20" s="33"/>
      <c r="AGV20" s="33"/>
      <c r="AGW20" s="33"/>
      <c r="AGX20" s="33"/>
      <c r="AGY20" s="33"/>
      <c r="AGZ20" s="33"/>
      <c r="AHA20" s="33"/>
      <c r="AHB20" s="33"/>
      <c r="AHC20" s="33"/>
      <c r="AHD20" s="33"/>
      <c r="AHE20" s="33"/>
      <c r="AHF20" s="33"/>
      <c r="AHG20" s="33"/>
      <c r="AHH20" s="33"/>
      <c r="AHI20" s="33"/>
      <c r="AHJ20" s="33"/>
      <c r="AHK20" s="33"/>
      <c r="AHL20" s="33"/>
      <c r="AHM20" s="33"/>
      <c r="AHN20" s="33"/>
      <c r="AHO20" s="33"/>
      <c r="AHP20" s="33"/>
      <c r="AHQ20" s="33"/>
      <c r="AHR20" s="33"/>
      <c r="AHS20" s="33"/>
      <c r="AHT20" s="33"/>
      <c r="AHU20" s="33"/>
      <c r="AHV20" s="33"/>
      <c r="AHW20" s="33"/>
      <c r="AHX20" s="33"/>
      <c r="AHY20" s="33"/>
      <c r="AHZ20" s="33"/>
      <c r="AIA20" s="33"/>
      <c r="AIB20" s="33"/>
      <c r="AIC20" s="33"/>
      <c r="AID20" s="33"/>
      <c r="AIE20" s="33"/>
      <c r="AIF20" s="33"/>
      <c r="AIG20" s="33"/>
      <c r="AIH20" s="33"/>
      <c r="AII20" s="33"/>
      <c r="AIJ20" s="33"/>
      <c r="AIK20" s="33"/>
      <c r="AIL20" s="33"/>
      <c r="AIM20" s="33"/>
      <c r="AIN20" s="33"/>
      <c r="AIO20" s="33"/>
      <c r="AIP20" s="33"/>
      <c r="AIQ20" s="33"/>
      <c r="AIR20" s="33"/>
      <c r="AIS20" s="33"/>
      <c r="AIT20" s="33"/>
      <c r="AIU20" s="33"/>
      <c r="AIV20" s="33"/>
      <c r="AIW20" s="33"/>
      <c r="AIX20" s="33"/>
      <c r="AIY20" s="33"/>
      <c r="AIZ20" s="33"/>
      <c r="AJA20" s="33"/>
      <c r="AJB20" s="33"/>
      <c r="AJC20" s="33"/>
      <c r="AJD20" s="33"/>
      <c r="AJE20" s="33"/>
      <c r="AJF20" s="33"/>
      <c r="AJG20" s="33"/>
      <c r="AJH20" s="33"/>
      <c r="AJI20" s="33"/>
      <c r="AJJ20" s="33"/>
      <c r="AJK20" s="33"/>
      <c r="AJL20" s="33"/>
      <c r="AJM20" s="33"/>
      <c r="AJN20" s="33"/>
      <c r="AJO20" s="33"/>
      <c r="AJP20" s="33"/>
      <c r="AJQ20" s="33"/>
      <c r="AJR20" s="33"/>
      <c r="AJS20" s="33"/>
      <c r="AJT20" s="33"/>
      <c r="AJU20" s="33"/>
      <c r="AJV20" s="33"/>
      <c r="AJW20" s="33"/>
      <c r="AJX20" s="33"/>
      <c r="AJY20" s="33"/>
      <c r="AJZ20" s="33"/>
      <c r="AKA20" s="33"/>
      <c r="AKB20" s="33"/>
      <c r="AKC20" s="33"/>
      <c r="AKD20" s="33"/>
      <c r="AKE20" s="33"/>
      <c r="AKF20" s="33"/>
      <c r="AKG20" s="33"/>
      <c r="AKH20" s="33"/>
      <c r="AKI20" s="33"/>
      <c r="AKJ20" s="33"/>
      <c r="AKK20" s="33"/>
      <c r="AKL20" s="33"/>
      <c r="AKM20" s="33"/>
      <c r="AKN20" s="33"/>
      <c r="AKO20" s="33"/>
      <c r="AKP20" s="33"/>
      <c r="AKQ20" s="33"/>
      <c r="AKR20" s="33"/>
      <c r="AKS20" s="33"/>
      <c r="AKT20" s="33"/>
      <c r="AKU20" s="33"/>
      <c r="AKV20" s="33"/>
      <c r="AKW20" s="33"/>
      <c r="AKX20" s="33"/>
      <c r="AKY20" s="33"/>
      <c r="AKZ20" s="33"/>
      <c r="ALA20" s="33"/>
      <c r="ALB20" s="33"/>
      <c r="ALC20" s="33"/>
      <c r="ALD20" s="33"/>
      <c r="ALE20" s="33"/>
      <c r="ALF20" s="33"/>
      <c r="ALG20" s="33"/>
      <c r="ALH20" s="33"/>
      <c r="ALI20" s="33"/>
      <c r="ALJ20" s="33"/>
      <c r="ALK20" s="33"/>
      <c r="ALL20" s="33"/>
      <c r="ALM20" s="33"/>
      <c r="ALN20" s="33"/>
      <c r="ALO20" s="33"/>
      <c r="ALP20" s="33"/>
      <c r="ALQ20" s="33"/>
      <c r="ALR20" s="33"/>
      <c r="ALS20" s="33"/>
      <c r="ALT20" s="33"/>
      <c r="ALU20" s="33"/>
      <c r="ALV20" s="33"/>
      <c r="ALW20" s="33"/>
      <c r="ALX20" s="33"/>
      <c r="ALY20" s="33"/>
      <c r="ALZ20" s="33"/>
      <c r="AMA20" s="33"/>
      <c r="AMB20" s="33"/>
      <c r="AMC20" s="33"/>
      <c r="AMD20" s="33"/>
      <c r="AME20" s="33"/>
      <c r="AMF20" s="33"/>
      <c r="AMG20" s="33"/>
      <c r="AMH20" s="33"/>
      <c r="AMI20" s="33"/>
      <c r="AMJ20" s="33"/>
      <c r="AMK20" s="33"/>
      <c r="AML20" s="33"/>
      <c r="AMM20" s="33"/>
      <c r="AMN20" s="33"/>
      <c r="AMO20" s="33"/>
      <c r="AMP20" s="33"/>
      <c r="AMQ20" s="33"/>
      <c r="AMR20" s="33"/>
      <c r="AMS20" s="33"/>
      <c r="AMT20" s="33"/>
      <c r="AMU20" s="33"/>
      <c r="AMV20" s="33"/>
      <c r="AMW20" s="33"/>
      <c r="AMX20" s="33"/>
      <c r="AMY20" s="33"/>
      <c r="AMZ20" s="33"/>
      <c r="ANA20" s="33"/>
      <c r="ANB20" s="33"/>
      <c r="ANC20" s="33"/>
      <c r="AND20" s="33"/>
      <c r="ANE20" s="33"/>
      <c r="ANF20" s="33"/>
      <c r="ANG20" s="33"/>
      <c r="ANH20" s="33"/>
      <c r="ANI20" s="33"/>
      <c r="ANJ20" s="33"/>
      <c r="ANK20" s="33"/>
      <c r="ANL20" s="33"/>
      <c r="ANM20" s="33"/>
      <c r="ANN20" s="33"/>
      <c r="ANO20" s="33"/>
      <c r="ANP20" s="33"/>
      <c r="ANQ20" s="33"/>
      <c r="ANR20" s="33"/>
      <c r="ANS20" s="33"/>
      <c r="ANT20" s="33"/>
      <c r="ANU20" s="33"/>
      <c r="ANV20" s="33"/>
      <c r="ANW20" s="33"/>
      <c r="ANX20" s="33"/>
      <c r="ANY20" s="33"/>
      <c r="ANZ20" s="33"/>
      <c r="AOA20" s="33"/>
      <c r="AOB20" s="33"/>
      <c r="AOC20" s="33"/>
      <c r="AOD20" s="33"/>
      <c r="AOE20" s="33"/>
      <c r="AOF20" s="33"/>
      <c r="AOG20" s="33"/>
      <c r="AOH20" s="33"/>
      <c r="AOI20" s="33"/>
      <c r="AOJ20" s="33"/>
      <c r="AOK20" s="33"/>
      <c r="AOL20" s="33"/>
      <c r="AOM20" s="33"/>
      <c r="AON20" s="33"/>
      <c r="AOO20" s="33"/>
      <c r="AOP20" s="33"/>
      <c r="AOQ20" s="33"/>
      <c r="AOR20" s="33"/>
      <c r="AOS20" s="33"/>
      <c r="AOT20" s="33"/>
      <c r="AOU20" s="33"/>
      <c r="AOV20" s="33"/>
      <c r="AOW20" s="33"/>
      <c r="AOX20" s="33"/>
      <c r="AOY20" s="33"/>
      <c r="AOZ20" s="33"/>
      <c r="APA20" s="33"/>
      <c r="APB20" s="33"/>
      <c r="APC20" s="33"/>
      <c r="APD20" s="33"/>
      <c r="APE20" s="33"/>
      <c r="APF20" s="33"/>
      <c r="APG20" s="33"/>
      <c r="APH20" s="33"/>
      <c r="API20" s="33"/>
      <c r="APJ20" s="33"/>
      <c r="APK20" s="33"/>
      <c r="APL20" s="33"/>
      <c r="APM20" s="33"/>
      <c r="APN20" s="33"/>
      <c r="APO20" s="33"/>
      <c r="APP20" s="33"/>
      <c r="APQ20" s="33"/>
      <c r="APR20" s="33"/>
      <c r="APS20" s="33"/>
      <c r="APT20" s="33"/>
      <c r="APU20" s="33"/>
      <c r="APV20" s="33"/>
      <c r="APW20" s="33"/>
      <c r="APX20" s="33"/>
      <c r="APY20" s="33"/>
      <c r="APZ20" s="33"/>
      <c r="AQA20" s="33"/>
      <c r="AQB20" s="33"/>
      <c r="AQC20" s="33"/>
      <c r="AQD20" s="33"/>
      <c r="AQE20" s="33"/>
      <c r="AQF20" s="33"/>
      <c r="AQG20" s="33"/>
      <c r="AQH20" s="33"/>
      <c r="AQI20" s="33"/>
      <c r="AQJ20" s="33"/>
      <c r="AQK20" s="33"/>
      <c r="AQL20" s="33"/>
      <c r="AQM20" s="33"/>
      <c r="AQN20" s="33"/>
      <c r="AQO20" s="33"/>
      <c r="AQP20" s="33"/>
      <c r="AQQ20" s="33"/>
      <c r="AQR20" s="33"/>
      <c r="AQS20" s="33"/>
      <c r="AQT20" s="33"/>
      <c r="AQU20" s="33"/>
      <c r="AQV20" s="33"/>
      <c r="AQW20" s="33"/>
      <c r="AQX20" s="33"/>
      <c r="AQY20" s="33"/>
      <c r="AQZ20" s="33"/>
      <c r="ARA20" s="33"/>
      <c r="ARB20" s="33"/>
      <c r="ARC20" s="33"/>
      <c r="ARD20" s="33"/>
      <c r="ARE20" s="33"/>
      <c r="ARF20" s="33"/>
      <c r="ARG20" s="33"/>
      <c r="ARH20" s="33"/>
      <c r="ARI20" s="33"/>
      <c r="ARJ20" s="33"/>
      <c r="ARK20" s="33"/>
      <c r="ARL20" s="33"/>
      <c r="ARM20" s="33"/>
      <c r="ARN20" s="33"/>
      <c r="ARO20" s="33"/>
      <c r="ARP20" s="33"/>
      <c r="ARQ20" s="33"/>
      <c r="ARR20" s="33"/>
      <c r="ARS20" s="33"/>
      <c r="ART20" s="33"/>
      <c r="ARU20" s="33"/>
      <c r="ARV20" s="33"/>
      <c r="ARW20" s="33"/>
      <c r="ARX20" s="33"/>
      <c r="ARY20" s="33"/>
      <c r="ARZ20" s="33"/>
      <c r="ASA20" s="33"/>
      <c r="ASB20" s="33"/>
      <c r="ASC20" s="33"/>
      <c r="ASD20" s="33"/>
      <c r="ASE20" s="33"/>
      <c r="ASF20" s="33"/>
      <c r="ASG20" s="33"/>
      <c r="ASH20" s="33"/>
      <c r="ASI20" s="33"/>
      <c r="ASJ20" s="33"/>
      <c r="ASK20" s="33"/>
      <c r="ASL20" s="33"/>
      <c r="ASM20" s="33"/>
      <c r="ASN20" s="33"/>
      <c r="ASO20" s="33"/>
      <c r="ASP20" s="33"/>
      <c r="ASQ20" s="33"/>
      <c r="ASR20" s="33"/>
      <c r="ASS20" s="33"/>
      <c r="AST20" s="33"/>
      <c r="ASU20" s="33"/>
      <c r="ASV20" s="33"/>
      <c r="ASW20" s="33"/>
      <c r="ASX20" s="33"/>
      <c r="ASY20" s="33"/>
      <c r="ASZ20" s="33"/>
      <c r="ATA20" s="33"/>
      <c r="ATB20" s="33"/>
      <c r="ATC20" s="33"/>
      <c r="ATD20" s="33"/>
      <c r="ATE20" s="33"/>
      <c r="ATF20" s="33"/>
      <c r="ATG20" s="33"/>
      <c r="ATH20" s="33"/>
      <c r="ATI20" s="33"/>
      <c r="ATJ20" s="33"/>
      <c r="ATK20" s="33"/>
      <c r="ATL20" s="33"/>
      <c r="ATM20" s="33"/>
      <c r="ATN20" s="33"/>
      <c r="ATO20" s="33"/>
      <c r="ATP20" s="33"/>
      <c r="ATQ20" s="33"/>
      <c r="ATR20" s="33"/>
      <c r="ATS20" s="33"/>
      <c r="ATT20" s="33"/>
      <c r="ATU20" s="33"/>
      <c r="ATV20" s="33"/>
      <c r="ATW20" s="33"/>
      <c r="ATX20" s="33"/>
      <c r="ATY20" s="33"/>
      <c r="ATZ20" s="33"/>
      <c r="AUA20" s="33"/>
      <c r="AUB20" s="33"/>
      <c r="AUC20" s="33"/>
      <c r="AUD20" s="33"/>
      <c r="AUE20" s="33"/>
      <c r="AUF20" s="33"/>
      <c r="AUG20" s="33"/>
      <c r="AUH20" s="33"/>
      <c r="AUI20" s="33"/>
      <c r="AUJ20" s="33"/>
      <c r="AUK20" s="33"/>
      <c r="AUL20" s="33"/>
      <c r="AUM20" s="33"/>
      <c r="AUN20" s="33"/>
      <c r="AUO20" s="33"/>
      <c r="AUP20" s="33"/>
      <c r="AUQ20" s="33"/>
      <c r="AUR20" s="33"/>
      <c r="AUS20" s="33"/>
      <c r="AUT20" s="33"/>
      <c r="AUU20" s="33"/>
      <c r="AUV20" s="33"/>
      <c r="AUW20" s="33"/>
      <c r="AUX20" s="33"/>
      <c r="AUY20" s="33"/>
      <c r="AUZ20" s="33"/>
      <c r="AVA20" s="33"/>
      <c r="AVB20" s="33"/>
      <c r="AVC20" s="33"/>
      <c r="AVD20" s="33"/>
      <c r="AVE20" s="33"/>
      <c r="AVF20" s="33"/>
      <c r="AVG20" s="33"/>
      <c r="AVH20" s="33"/>
      <c r="AVI20" s="33"/>
      <c r="AVJ20" s="33"/>
      <c r="AVK20" s="33"/>
      <c r="AVL20" s="33"/>
      <c r="AVM20" s="33"/>
      <c r="AVN20" s="33"/>
      <c r="AVO20" s="33"/>
      <c r="AVP20" s="33"/>
      <c r="AVQ20" s="33"/>
      <c r="AVR20" s="33"/>
      <c r="AVS20" s="33"/>
      <c r="AVT20" s="33"/>
      <c r="AVU20" s="33"/>
      <c r="AVV20" s="33"/>
      <c r="AVW20" s="33"/>
      <c r="AVX20" s="33"/>
      <c r="AVY20" s="33"/>
      <c r="AVZ20" s="33"/>
      <c r="AWA20" s="33"/>
      <c r="AWB20" s="33"/>
      <c r="AWC20" s="33"/>
      <c r="AWD20" s="33"/>
      <c r="AWE20" s="33"/>
      <c r="AWF20" s="33"/>
      <c r="AWG20" s="33"/>
      <c r="AWH20" s="33"/>
      <c r="AWI20" s="33"/>
      <c r="AWJ20" s="33"/>
      <c r="AWK20" s="33"/>
      <c r="AWL20" s="33"/>
      <c r="AWM20" s="33"/>
      <c r="AWN20" s="33"/>
      <c r="AWO20" s="33"/>
      <c r="AWP20" s="33"/>
      <c r="AWQ20" s="33"/>
      <c r="AWR20" s="33"/>
      <c r="AWS20" s="33"/>
      <c r="AWT20" s="33"/>
      <c r="AWU20" s="33"/>
      <c r="AWV20" s="33"/>
      <c r="AWW20" s="33"/>
      <c r="AWX20" s="33"/>
      <c r="AWY20" s="33"/>
      <c r="AWZ20" s="33"/>
      <c r="AXA20" s="33"/>
      <c r="AXB20" s="33"/>
      <c r="AXC20" s="33"/>
      <c r="AXD20" s="33"/>
      <c r="AXE20" s="33"/>
      <c r="AXF20" s="33"/>
      <c r="AXG20" s="33"/>
      <c r="AXH20" s="33"/>
      <c r="AXI20" s="33"/>
      <c r="AXJ20" s="33"/>
      <c r="AXK20" s="33"/>
      <c r="AXL20" s="33"/>
      <c r="AXM20" s="33"/>
      <c r="AXN20" s="33"/>
      <c r="AXO20" s="33"/>
      <c r="AXP20" s="33"/>
      <c r="AXQ20" s="33"/>
      <c r="AXR20" s="33"/>
      <c r="AXS20" s="33"/>
      <c r="AXT20" s="33"/>
      <c r="AXU20" s="33"/>
      <c r="AXV20" s="33"/>
      <c r="AXW20" s="33"/>
      <c r="AXX20" s="33"/>
      <c r="AXY20" s="33"/>
      <c r="AXZ20" s="33"/>
      <c r="AYA20" s="33"/>
      <c r="AYB20" s="33"/>
      <c r="AYC20" s="33"/>
      <c r="AYD20" s="33"/>
      <c r="AYE20" s="33"/>
      <c r="AYF20" s="33"/>
      <c r="AYG20" s="33"/>
      <c r="AYH20" s="33"/>
      <c r="AYI20" s="33"/>
      <c r="AYJ20" s="33"/>
      <c r="AYK20" s="33"/>
      <c r="AYL20" s="33"/>
      <c r="AYM20" s="33"/>
      <c r="AYN20" s="33"/>
      <c r="AYO20" s="33"/>
      <c r="AYP20" s="33"/>
      <c r="AYQ20" s="33"/>
      <c r="AYR20" s="33"/>
      <c r="AYS20" s="33"/>
      <c r="AYT20" s="33"/>
      <c r="AYU20" s="33"/>
      <c r="AYV20" s="33"/>
      <c r="AYW20" s="33"/>
      <c r="AYX20" s="33"/>
      <c r="AYY20" s="33"/>
      <c r="AYZ20" s="33"/>
      <c r="AZA20" s="33"/>
      <c r="AZB20" s="33"/>
      <c r="AZC20" s="33"/>
      <c r="AZD20" s="33"/>
      <c r="AZE20" s="33"/>
      <c r="AZF20" s="33"/>
      <c r="AZG20" s="33"/>
      <c r="AZH20" s="33"/>
      <c r="AZI20" s="33"/>
      <c r="AZJ20" s="33"/>
      <c r="AZK20" s="33"/>
      <c r="AZL20" s="33"/>
      <c r="AZM20" s="33"/>
      <c r="AZN20" s="33"/>
      <c r="AZO20" s="33"/>
      <c r="AZP20" s="33"/>
      <c r="AZQ20" s="33"/>
      <c r="AZR20" s="33"/>
      <c r="AZS20" s="33"/>
      <c r="AZT20" s="33"/>
      <c r="AZU20" s="33"/>
      <c r="AZV20" s="33"/>
      <c r="AZW20" s="33"/>
      <c r="AZX20" s="33"/>
      <c r="AZY20" s="33"/>
      <c r="AZZ20" s="33"/>
      <c r="BAA20" s="33"/>
      <c r="BAB20" s="33"/>
      <c r="BAC20" s="33"/>
      <c r="BAD20" s="33"/>
      <c r="BAE20" s="33"/>
      <c r="BAF20" s="33"/>
      <c r="BAG20" s="33"/>
      <c r="BAH20" s="33"/>
      <c r="BAI20" s="33"/>
      <c r="BAJ20" s="33"/>
      <c r="BAK20" s="33"/>
      <c r="BAL20" s="33"/>
      <c r="BAM20" s="33"/>
      <c r="BAN20" s="33"/>
      <c r="BAO20" s="33"/>
      <c r="BAP20" s="33"/>
      <c r="BAQ20" s="33"/>
      <c r="BAR20" s="33"/>
      <c r="BAS20" s="33"/>
      <c r="BAT20" s="33"/>
      <c r="BAU20" s="33"/>
      <c r="BAV20" s="33"/>
      <c r="BAW20" s="33"/>
      <c r="BAX20" s="33"/>
      <c r="BAY20" s="33"/>
      <c r="BAZ20" s="33"/>
      <c r="BBA20" s="33"/>
      <c r="BBB20" s="33"/>
      <c r="BBC20" s="33"/>
      <c r="BBD20" s="33"/>
      <c r="BBE20" s="33"/>
      <c r="BBF20" s="33"/>
      <c r="BBG20" s="33"/>
      <c r="BBH20" s="33"/>
      <c r="BBI20" s="33"/>
      <c r="BBJ20" s="33"/>
      <c r="BBK20" s="33"/>
      <c r="BBL20" s="33"/>
      <c r="BBM20" s="33"/>
      <c r="BBN20" s="33"/>
      <c r="BBO20" s="33"/>
      <c r="BBP20" s="33"/>
      <c r="BBQ20" s="33"/>
      <c r="BBR20" s="33"/>
      <c r="BBS20" s="33"/>
      <c r="BBT20" s="33"/>
      <c r="BBU20" s="33"/>
      <c r="BBV20" s="33"/>
      <c r="BBW20" s="33"/>
      <c r="BBX20" s="33"/>
      <c r="BBY20" s="33"/>
      <c r="BBZ20" s="33"/>
      <c r="BCA20" s="33"/>
      <c r="BCB20" s="33"/>
      <c r="BCC20" s="33"/>
      <c r="BCD20" s="33"/>
      <c r="BCE20" s="33"/>
      <c r="BCF20" s="33"/>
      <c r="BCG20" s="33"/>
      <c r="BCH20" s="33"/>
      <c r="BCI20" s="33"/>
      <c r="BCJ20" s="33"/>
      <c r="BCK20" s="33"/>
      <c r="BCL20" s="33"/>
      <c r="BCM20" s="33"/>
      <c r="BCN20" s="33"/>
      <c r="BCO20" s="33"/>
      <c r="BCP20" s="33"/>
      <c r="BCQ20" s="33"/>
      <c r="BCR20" s="33"/>
      <c r="BCS20" s="33"/>
      <c r="BCT20" s="33"/>
      <c r="BCU20" s="33"/>
      <c r="BCV20" s="33"/>
      <c r="BCW20" s="33"/>
      <c r="BCX20" s="33"/>
      <c r="BCY20" s="33"/>
      <c r="BCZ20" s="33"/>
      <c r="BDA20" s="33"/>
      <c r="BDB20" s="33"/>
      <c r="BDC20" s="33"/>
      <c r="BDD20" s="33"/>
      <c r="BDE20" s="33"/>
      <c r="BDF20" s="33"/>
      <c r="BDG20" s="33"/>
      <c r="BDH20" s="33"/>
      <c r="BDI20" s="33"/>
      <c r="BDJ20" s="33"/>
      <c r="BDK20" s="33"/>
      <c r="BDL20" s="33"/>
      <c r="BDM20" s="33"/>
      <c r="BDN20" s="33"/>
      <c r="BDO20" s="33"/>
      <c r="BDP20" s="33"/>
      <c r="BDQ20" s="33"/>
      <c r="BDR20" s="33"/>
      <c r="BDS20" s="33"/>
      <c r="BDT20" s="33"/>
      <c r="BDU20" s="33"/>
      <c r="BDV20" s="33"/>
      <c r="BDW20" s="33"/>
      <c r="BDX20" s="33"/>
      <c r="BDY20" s="33"/>
      <c r="BDZ20" s="33"/>
      <c r="BEA20" s="33"/>
      <c r="BEB20" s="33"/>
      <c r="BEC20" s="33"/>
      <c r="BED20" s="33"/>
      <c r="BEE20" s="33"/>
      <c r="BEF20" s="33"/>
      <c r="BEG20" s="33"/>
      <c r="BEH20" s="33"/>
      <c r="BEI20" s="33"/>
      <c r="BEJ20" s="33"/>
      <c r="BEK20" s="33"/>
      <c r="BEL20" s="33"/>
      <c r="BEM20" s="33"/>
      <c r="BEN20" s="33"/>
      <c r="BEO20" s="33"/>
      <c r="BEP20" s="33"/>
      <c r="BEQ20" s="33"/>
      <c r="BER20" s="33"/>
      <c r="BES20" s="33"/>
      <c r="BET20" s="33"/>
      <c r="BEU20" s="33"/>
      <c r="BEV20" s="33"/>
      <c r="BEW20" s="33"/>
      <c r="BEX20" s="33"/>
      <c r="BEY20" s="33"/>
      <c r="BEZ20" s="33"/>
      <c r="BFA20" s="33"/>
      <c r="BFB20" s="33"/>
      <c r="BFC20" s="33"/>
      <c r="BFD20" s="33"/>
      <c r="BFE20" s="33"/>
      <c r="BFF20" s="33"/>
      <c r="BFG20" s="33"/>
      <c r="BFH20" s="33"/>
      <c r="BFI20" s="33"/>
      <c r="BFJ20" s="33"/>
      <c r="BFK20" s="33"/>
      <c r="BFL20" s="33"/>
      <c r="BFM20" s="33"/>
      <c r="BFN20" s="33"/>
      <c r="BFO20" s="33"/>
      <c r="BFP20" s="33"/>
      <c r="BFQ20" s="33"/>
      <c r="BFR20" s="33"/>
      <c r="BFS20" s="33"/>
      <c r="BFT20" s="33"/>
      <c r="BFU20" s="33"/>
      <c r="BFV20" s="33"/>
      <c r="BFW20" s="33"/>
      <c r="BFX20" s="33"/>
      <c r="BFY20" s="33"/>
      <c r="BFZ20" s="33"/>
      <c r="BGA20" s="33"/>
      <c r="BGB20" s="33"/>
      <c r="BGC20" s="33"/>
      <c r="BGD20" s="33"/>
      <c r="BGE20" s="33"/>
      <c r="BGF20" s="33"/>
      <c r="BGG20" s="33"/>
      <c r="BGH20" s="33"/>
      <c r="BGI20" s="33"/>
      <c r="BGJ20" s="33"/>
      <c r="BGK20" s="33"/>
      <c r="BGL20" s="33"/>
      <c r="BGM20" s="33"/>
      <c r="BGN20" s="33"/>
      <c r="BGO20" s="33"/>
      <c r="BGP20" s="33"/>
      <c r="BGQ20" s="33"/>
      <c r="BGR20" s="33"/>
      <c r="BGS20" s="33"/>
      <c r="BGT20" s="33"/>
      <c r="BGU20" s="33"/>
      <c r="BGV20" s="33"/>
      <c r="BGW20" s="33"/>
      <c r="BGX20" s="33"/>
      <c r="BGY20" s="33"/>
      <c r="BGZ20" s="33"/>
      <c r="BHA20" s="33"/>
      <c r="BHB20" s="33"/>
      <c r="BHC20" s="33"/>
      <c r="BHD20" s="33"/>
      <c r="BHE20" s="33"/>
      <c r="BHF20" s="33"/>
      <c r="BHG20" s="33"/>
      <c r="BHH20" s="33"/>
      <c r="BHI20" s="33"/>
      <c r="BHJ20" s="33"/>
      <c r="BHK20" s="33"/>
      <c r="BHL20" s="33"/>
      <c r="BHM20" s="33"/>
      <c r="BHN20" s="33"/>
      <c r="BHO20" s="33"/>
      <c r="BHP20" s="33"/>
      <c r="BHQ20" s="33"/>
      <c r="BHR20" s="33"/>
      <c r="BHS20" s="33"/>
      <c r="BHT20" s="33"/>
      <c r="BHU20" s="33"/>
      <c r="BHV20" s="33"/>
      <c r="BHW20" s="33"/>
      <c r="BHX20" s="33"/>
      <c r="BHY20" s="33"/>
      <c r="BHZ20" s="33"/>
      <c r="BIA20" s="33"/>
      <c r="BIB20" s="33"/>
      <c r="BIC20" s="33"/>
      <c r="BID20" s="33"/>
      <c r="BIE20" s="33"/>
      <c r="BIF20" s="33"/>
      <c r="BIG20" s="33"/>
      <c r="BIH20" s="33"/>
      <c r="BII20" s="33"/>
      <c r="BIJ20" s="33"/>
      <c r="BIK20" s="33"/>
      <c r="BIL20" s="33"/>
      <c r="BIM20" s="33"/>
      <c r="BIN20" s="33"/>
      <c r="BIO20" s="33"/>
      <c r="BIP20" s="33"/>
      <c r="BIQ20" s="33"/>
      <c r="BIR20" s="33"/>
      <c r="BIS20" s="33"/>
      <c r="BIT20" s="33"/>
      <c r="BIU20" s="33"/>
      <c r="BIV20" s="33"/>
      <c r="BIW20" s="33"/>
      <c r="BIX20" s="33"/>
      <c r="BIY20" s="33"/>
      <c r="BIZ20" s="33"/>
      <c r="BJA20" s="33"/>
      <c r="BJB20" s="33"/>
      <c r="BJC20" s="33"/>
      <c r="BJD20" s="33"/>
      <c r="BJE20" s="33"/>
      <c r="BJF20" s="33"/>
      <c r="BJG20" s="33"/>
      <c r="BJH20" s="33"/>
      <c r="BJI20" s="33"/>
      <c r="BJJ20" s="33"/>
      <c r="BJK20" s="33"/>
      <c r="BJL20" s="33"/>
      <c r="BJM20" s="33"/>
      <c r="BJN20" s="33"/>
      <c r="BJO20" s="33"/>
      <c r="BJP20" s="33"/>
      <c r="BJQ20" s="33"/>
      <c r="BJR20" s="33"/>
      <c r="BJS20" s="33"/>
      <c r="BJT20" s="33"/>
      <c r="BJU20" s="33"/>
      <c r="BJV20" s="33"/>
      <c r="BJW20" s="33"/>
      <c r="BJX20" s="33"/>
      <c r="BJY20" s="33"/>
      <c r="BJZ20" s="33"/>
      <c r="BKA20" s="33"/>
      <c r="BKB20" s="33"/>
      <c r="BKC20" s="33"/>
      <c r="BKD20" s="33"/>
      <c r="BKE20" s="33"/>
      <c r="BKF20" s="33"/>
      <c r="BKG20" s="33"/>
      <c r="BKH20" s="33"/>
      <c r="BKI20" s="33"/>
      <c r="BKJ20" s="33"/>
      <c r="BKK20" s="33"/>
      <c r="BKL20" s="33"/>
      <c r="BKM20" s="33"/>
      <c r="BKN20" s="33"/>
      <c r="BKO20" s="33"/>
      <c r="BKP20" s="33"/>
      <c r="BKQ20" s="33"/>
      <c r="BKR20" s="33"/>
      <c r="BKS20" s="33"/>
      <c r="BKT20" s="33"/>
      <c r="BKU20" s="33"/>
      <c r="BKV20" s="33"/>
      <c r="BKW20" s="33"/>
      <c r="BKX20" s="33"/>
      <c r="BKY20" s="33"/>
      <c r="BKZ20" s="33"/>
      <c r="BLA20" s="33"/>
      <c r="BLB20" s="33"/>
      <c r="BLC20" s="33"/>
      <c r="BLD20" s="33"/>
      <c r="BLE20" s="33"/>
      <c r="BLF20" s="33"/>
      <c r="BLG20" s="33"/>
      <c r="BLH20" s="33"/>
      <c r="BLI20" s="33"/>
      <c r="BLJ20" s="33"/>
      <c r="BLK20" s="33"/>
      <c r="BLL20" s="33"/>
      <c r="BLM20" s="33"/>
      <c r="BLN20" s="33"/>
      <c r="BLO20" s="33"/>
      <c r="BLP20" s="33"/>
      <c r="BLQ20" s="33"/>
      <c r="BLR20" s="33"/>
      <c r="BLS20" s="33"/>
      <c r="BLT20" s="33"/>
      <c r="BLU20" s="33"/>
      <c r="BLV20" s="33"/>
      <c r="BLW20" s="33"/>
      <c r="BLX20" s="33"/>
      <c r="BLY20" s="33"/>
      <c r="BLZ20" s="33"/>
      <c r="BMA20" s="33"/>
      <c r="BMB20" s="33"/>
      <c r="BMC20" s="33"/>
      <c r="BMD20" s="33"/>
      <c r="BME20" s="33"/>
      <c r="BMF20" s="33"/>
      <c r="BMG20" s="33"/>
      <c r="BMH20" s="33"/>
      <c r="BMI20" s="33"/>
      <c r="BMJ20" s="33"/>
      <c r="BMK20" s="33"/>
      <c r="BML20" s="33"/>
      <c r="BMM20" s="33"/>
      <c r="BMN20" s="33"/>
      <c r="BMO20" s="33"/>
      <c r="BMP20" s="33"/>
      <c r="BMQ20" s="33"/>
      <c r="BMR20" s="33"/>
      <c r="BMS20" s="33"/>
      <c r="BMT20" s="33"/>
      <c r="BMU20" s="33"/>
      <c r="BMV20" s="33"/>
      <c r="BMW20" s="33"/>
      <c r="BMX20" s="33"/>
      <c r="BMY20" s="33"/>
      <c r="BMZ20" s="33"/>
      <c r="BNA20" s="33"/>
      <c r="BNB20" s="33"/>
      <c r="BNC20" s="33"/>
      <c r="BND20" s="33"/>
      <c r="BNE20" s="33"/>
      <c r="BNF20" s="33"/>
      <c r="BNG20" s="33"/>
      <c r="BNH20" s="33"/>
      <c r="BNI20" s="33"/>
      <c r="BNJ20" s="33"/>
      <c r="BNK20" s="33"/>
      <c r="BNL20" s="33"/>
      <c r="BNM20" s="33"/>
      <c r="BNN20" s="33"/>
      <c r="BNO20" s="33"/>
      <c r="BNP20" s="33"/>
      <c r="BNQ20" s="33"/>
      <c r="BNR20" s="33"/>
      <c r="BNS20" s="33"/>
      <c r="BNT20" s="33"/>
      <c r="BNU20" s="33"/>
      <c r="BNV20" s="33"/>
      <c r="BNW20" s="33"/>
      <c r="BNX20" s="33"/>
      <c r="BNY20" s="33"/>
      <c r="BNZ20" s="33"/>
      <c r="BOA20" s="33"/>
      <c r="BOB20" s="33"/>
      <c r="BOC20" s="33"/>
      <c r="BOD20" s="33"/>
      <c r="BOE20" s="33"/>
      <c r="BOF20" s="33"/>
      <c r="BOG20" s="33"/>
      <c r="BOH20" s="33"/>
      <c r="BOI20" s="33"/>
      <c r="BOJ20" s="33"/>
      <c r="BOK20" s="33"/>
      <c r="BOL20" s="33"/>
      <c r="BOM20" s="33"/>
      <c r="BON20" s="33"/>
      <c r="BOO20" s="33"/>
      <c r="BOP20" s="33"/>
      <c r="BOQ20" s="33"/>
      <c r="BOR20" s="33"/>
      <c r="BOS20" s="33"/>
      <c r="BOT20" s="33"/>
      <c r="BOU20" s="33"/>
      <c r="BOV20" s="33"/>
      <c r="BOW20" s="33"/>
      <c r="BOX20" s="33"/>
      <c r="BOY20" s="33"/>
      <c r="BOZ20" s="33"/>
      <c r="BPA20" s="33"/>
      <c r="BPB20" s="33"/>
      <c r="BPC20" s="33"/>
      <c r="BPD20" s="33"/>
      <c r="BPE20" s="33"/>
      <c r="BPF20" s="33"/>
      <c r="BPG20" s="33"/>
      <c r="BPH20" s="33"/>
      <c r="BPI20" s="33"/>
      <c r="BPJ20" s="33"/>
      <c r="BPK20" s="33"/>
      <c r="BPL20" s="33"/>
      <c r="BPM20" s="33"/>
      <c r="BPN20" s="33"/>
      <c r="BPO20" s="33"/>
      <c r="BPP20" s="33"/>
      <c r="BPQ20" s="33"/>
      <c r="BPR20" s="33"/>
      <c r="BPS20" s="33"/>
      <c r="BPT20" s="33"/>
      <c r="BPU20" s="33"/>
      <c r="BPV20" s="33"/>
      <c r="BPW20" s="33"/>
      <c r="BPX20" s="33"/>
      <c r="BPY20" s="33"/>
      <c r="BPZ20" s="33"/>
      <c r="BQA20" s="33"/>
      <c r="BQB20" s="33"/>
      <c r="BQC20" s="33"/>
      <c r="BQD20" s="33"/>
      <c r="BQE20" s="33"/>
      <c r="BQF20" s="33"/>
      <c r="BQG20" s="33"/>
      <c r="BQH20" s="33"/>
      <c r="BQI20" s="33"/>
      <c r="BQJ20" s="33"/>
      <c r="BQK20" s="33"/>
      <c r="BQL20" s="33"/>
      <c r="BQM20" s="33"/>
      <c r="BQN20" s="33"/>
      <c r="BQO20" s="33"/>
      <c r="BQP20" s="33"/>
      <c r="BQQ20" s="33"/>
      <c r="BQR20" s="33"/>
      <c r="BQS20" s="33"/>
      <c r="BQT20" s="33"/>
      <c r="BQU20" s="33"/>
      <c r="BQV20" s="33"/>
      <c r="BQW20" s="33"/>
      <c r="BQX20" s="33"/>
      <c r="BQY20" s="33"/>
      <c r="BQZ20" s="33"/>
      <c r="BRA20" s="33"/>
      <c r="BRB20" s="33"/>
      <c r="BRC20" s="33"/>
      <c r="BRD20" s="33"/>
      <c r="BRE20" s="33"/>
      <c r="BRF20" s="33"/>
      <c r="BRG20" s="33"/>
      <c r="BRH20" s="33"/>
      <c r="BRI20" s="33"/>
      <c r="BRJ20" s="33"/>
      <c r="BRK20" s="33"/>
      <c r="BRL20" s="33"/>
      <c r="BRM20" s="33"/>
      <c r="BRN20" s="33"/>
      <c r="BRO20" s="33"/>
      <c r="BRP20" s="33"/>
      <c r="BRQ20" s="33"/>
      <c r="BRR20" s="33"/>
      <c r="BRS20" s="33"/>
      <c r="BRT20" s="33"/>
      <c r="BRU20" s="33"/>
      <c r="BRV20" s="33"/>
      <c r="BRW20" s="33"/>
      <c r="BRX20" s="33"/>
      <c r="BRY20" s="33"/>
      <c r="BRZ20" s="33"/>
      <c r="BSA20" s="33"/>
      <c r="BSB20" s="33"/>
      <c r="BSC20" s="33"/>
      <c r="BSD20" s="33"/>
      <c r="BSE20" s="33"/>
      <c r="BSF20" s="33"/>
      <c r="BSG20" s="33"/>
      <c r="BSH20" s="33"/>
      <c r="BSI20" s="33"/>
      <c r="BSJ20" s="33"/>
      <c r="BSK20" s="33"/>
      <c r="BSL20" s="33"/>
      <c r="BSM20" s="33"/>
      <c r="BSN20" s="33"/>
      <c r="BSO20" s="33"/>
      <c r="BSP20" s="33"/>
      <c r="BSQ20" s="33"/>
      <c r="BSR20" s="33"/>
      <c r="BSS20" s="33"/>
      <c r="BST20" s="33"/>
      <c r="BSU20" s="33"/>
      <c r="BSV20" s="33"/>
      <c r="BSW20" s="33"/>
      <c r="BSX20" s="33"/>
      <c r="BSY20" s="33"/>
      <c r="BSZ20" s="33"/>
      <c r="BTA20" s="33"/>
      <c r="BTB20" s="33"/>
      <c r="BTC20" s="33"/>
      <c r="BTD20" s="33"/>
      <c r="BTE20" s="33"/>
      <c r="BTF20" s="33"/>
      <c r="BTG20" s="33"/>
      <c r="BTH20" s="33"/>
      <c r="BTI20" s="33"/>
      <c r="BTJ20" s="33"/>
      <c r="BTK20" s="33"/>
      <c r="BTL20" s="33"/>
      <c r="BTM20" s="33"/>
      <c r="BTN20" s="33"/>
      <c r="BTO20" s="33"/>
      <c r="BTP20" s="33"/>
      <c r="BTQ20" s="33"/>
      <c r="BTR20" s="33"/>
      <c r="BTS20" s="33"/>
      <c r="BTT20" s="33"/>
      <c r="BTU20" s="33"/>
      <c r="BTV20" s="33"/>
      <c r="BTW20" s="33"/>
      <c r="BTX20" s="33"/>
      <c r="BTY20" s="33"/>
      <c r="BTZ20" s="33"/>
      <c r="BUA20" s="33"/>
      <c r="BUB20" s="33"/>
      <c r="BUC20" s="33"/>
      <c r="BUD20" s="33"/>
      <c r="BUE20" s="33"/>
      <c r="BUF20" s="33"/>
      <c r="BUG20" s="33"/>
      <c r="BUH20" s="33"/>
      <c r="BUI20" s="33"/>
      <c r="BUJ20" s="33"/>
      <c r="BUK20" s="33"/>
      <c r="BUL20" s="33"/>
      <c r="BUM20" s="33"/>
      <c r="BUN20" s="33"/>
      <c r="BUO20" s="33"/>
      <c r="BUP20" s="33"/>
      <c r="BUQ20" s="33"/>
      <c r="BUR20" s="33"/>
      <c r="BUS20" s="33"/>
      <c r="BUT20" s="33"/>
      <c r="BUU20" s="33"/>
      <c r="BUV20" s="33"/>
      <c r="BUW20" s="33"/>
      <c r="BUX20" s="33"/>
      <c r="BUY20" s="33"/>
      <c r="BUZ20" s="33"/>
      <c r="BVA20" s="33"/>
      <c r="BVB20" s="33"/>
      <c r="BVC20" s="33"/>
      <c r="BVD20" s="33"/>
      <c r="BVE20" s="33"/>
      <c r="BVF20" s="33"/>
      <c r="BVG20" s="33"/>
      <c r="BVH20" s="33"/>
      <c r="BVI20" s="33"/>
      <c r="BVJ20" s="33"/>
      <c r="BVK20" s="33"/>
      <c r="BVL20" s="33"/>
      <c r="BVM20" s="33"/>
      <c r="BVN20" s="33"/>
      <c r="BVO20" s="33"/>
      <c r="BVP20" s="33"/>
      <c r="BVQ20" s="33"/>
      <c r="BVR20" s="33"/>
      <c r="BVS20" s="33"/>
      <c r="BVT20" s="33"/>
      <c r="BVU20" s="33"/>
      <c r="BVV20" s="33"/>
      <c r="BVW20" s="33"/>
      <c r="BVX20" s="33"/>
      <c r="BVY20" s="33"/>
      <c r="BVZ20" s="33"/>
      <c r="BWA20" s="33"/>
      <c r="BWB20" s="33"/>
      <c r="BWC20" s="33"/>
      <c r="BWD20" s="33"/>
      <c r="BWE20" s="33"/>
      <c r="BWF20" s="33"/>
      <c r="BWG20" s="33"/>
      <c r="BWH20" s="33"/>
      <c r="BWI20" s="33"/>
      <c r="BWJ20" s="33"/>
      <c r="BWK20" s="33"/>
      <c r="BWL20" s="33"/>
      <c r="BWM20" s="33"/>
      <c r="BWN20" s="33"/>
      <c r="BWO20" s="33"/>
      <c r="BWP20" s="33"/>
      <c r="BWQ20" s="33"/>
      <c r="BWR20" s="33"/>
      <c r="BWS20" s="33"/>
      <c r="BWT20" s="33"/>
      <c r="BWU20" s="33"/>
      <c r="BWV20" s="33"/>
      <c r="BWW20" s="33"/>
      <c r="BWX20" s="33"/>
      <c r="BWY20" s="33"/>
      <c r="BWZ20" s="33"/>
      <c r="BXA20" s="33"/>
      <c r="BXB20" s="33"/>
      <c r="BXC20" s="33"/>
      <c r="BXD20" s="33"/>
      <c r="BXE20" s="33"/>
      <c r="BXF20" s="33"/>
      <c r="BXG20" s="33"/>
      <c r="BXH20" s="33"/>
      <c r="BXI20" s="33"/>
      <c r="BXJ20" s="33"/>
      <c r="BXK20" s="33"/>
      <c r="BXL20" s="33"/>
      <c r="BXM20" s="33"/>
      <c r="BXN20" s="33"/>
      <c r="BXO20" s="33"/>
      <c r="BXP20" s="33"/>
      <c r="BXQ20" s="33"/>
      <c r="BXR20" s="33"/>
      <c r="BXS20" s="33"/>
      <c r="BXT20" s="33"/>
      <c r="BXU20" s="33"/>
      <c r="BXV20" s="33"/>
      <c r="BXW20" s="33"/>
      <c r="BXX20" s="33"/>
      <c r="BXY20" s="33"/>
      <c r="BXZ20" s="33"/>
      <c r="BYA20" s="33"/>
      <c r="BYB20" s="33"/>
      <c r="BYC20" s="33"/>
      <c r="BYD20" s="33"/>
      <c r="BYE20" s="33"/>
      <c r="BYF20" s="33"/>
      <c r="BYG20" s="33"/>
      <c r="BYH20" s="33"/>
      <c r="BYI20" s="33"/>
      <c r="BYJ20" s="33"/>
      <c r="BYK20" s="33"/>
      <c r="BYL20" s="33"/>
      <c r="BYM20" s="33"/>
      <c r="BYN20" s="33"/>
      <c r="BYO20" s="33"/>
      <c r="BYP20" s="33"/>
      <c r="BYQ20" s="33"/>
      <c r="BYR20" s="33"/>
      <c r="BYS20" s="33"/>
      <c r="BYT20" s="33"/>
      <c r="BYU20" s="33"/>
      <c r="BYV20" s="33"/>
      <c r="BYW20" s="33"/>
      <c r="BYX20" s="33"/>
      <c r="BYY20" s="33"/>
      <c r="BYZ20" s="33"/>
      <c r="BZA20" s="33"/>
      <c r="BZB20" s="33"/>
      <c r="BZC20" s="33"/>
      <c r="BZD20" s="33"/>
      <c r="BZE20" s="33"/>
      <c r="BZF20" s="33"/>
      <c r="BZG20" s="33"/>
      <c r="BZH20" s="33"/>
      <c r="BZI20" s="33"/>
      <c r="BZJ20" s="33"/>
      <c r="BZK20" s="33"/>
      <c r="BZL20" s="33"/>
      <c r="BZM20" s="33"/>
      <c r="BZN20" s="33"/>
      <c r="BZO20" s="33"/>
      <c r="BZP20" s="33"/>
      <c r="BZQ20" s="33"/>
      <c r="BZR20" s="33"/>
      <c r="BZS20" s="33"/>
      <c r="BZT20" s="33"/>
      <c r="BZU20" s="33"/>
      <c r="BZV20" s="33"/>
      <c r="BZW20" s="33"/>
      <c r="BZX20" s="33"/>
      <c r="BZY20" s="33"/>
      <c r="BZZ20" s="33"/>
      <c r="CAA20" s="33"/>
      <c r="CAB20" s="33"/>
      <c r="CAC20" s="33"/>
      <c r="CAD20" s="33"/>
      <c r="CAE20" s="33"/>
      <c r="CAF20" s="33"/>
      <c r="CAG20" s="33"/>
      <c r="CAH20" s="33"/>
      <c r="CAI20" s="33"/>
      <c r="CAJ20" s="33"/>
      <c r="CAK20" s="33"/>
      <c r="CAL20" s="33"/>
      <c r="CAM20" s="33"/>
      <c r="CAN20" s="33"/>
      <c r="CAO20" s="33"/>
      <c r="CAP20" s="33"/>
      <c r="CAQ20" s="33"/>
      <c r="CAR20" s="33"/>
      <c r="CAS20" s="33"/>
      <c r="CAT20" s="33"/>
      <c r="CAU20" s="33"/>
      <c r="CAV20" s="33"/>
      <c r="CAW20" s="33"/>
      <c r="CAX20" s="33"/>
      <c r="CAY20" s="33"/>
      <c r="CAZ20" s="33"/>
      <c r="CBA20" s="33"/>
      <c r="CBB20" s="33"/>
      <c r="CBC20" s="33"/>
      <c r="CBD20" s="33"/>
      <c r="CBE20" s="33"/>
      <c r="CBF20" s="33"/>
      <c r="CBG20" s="33"/>
      <c r="CBH20" s="33"/>
      <c r="CBI20" s="33"/>
      <c r="CBJ20" s="33"/>
      <c r="CBK20" s="33"/>
      <c r="CBL20" s="33"/>
      <c r="CBM20" s="33"/>
      <c r="CBN20" s="33"/>
      <c r="CBO20" s="33"/>
      <c r="CBP20" s="33"/>
      <c r="CBQ20" s="33"/>
      <c r="CBR20" s="33"/>
      <c r="CBS20" s="33"/>
      <c r="CBT20" s="33"/>
      <c r="CBU20" s="33"/>
      <c r="CBV20" s="33"/>
      <c r="CBW20" s="33"/>
      <c r="CBX20" s="33"/>
      <c r="CBY20" s="33"/>
      <c r="CBZ20" s="33"/>
      <c r="CCA20" s="33"/>
      <c r="CCB20" s="33"/>
      <c r="CCC20" s="33"/>
      <c r="CCD20" s="33"/>
      <c r="CCE20" s="33"/>
      <c r="CCF20" s="33"/>
      <c r="CCG20" s="33"/>
      <c r="CCH20" s="33"/>
      <c r="CCI20" s="33"/>
      <c r="CCJ20" s="33"/>
      <c r="CCK20" s="33"/>
      <c r="CCL20" s="33"/>
      <c r="CCM20" s="33"/>
      <c r="CCN20" s="33"/>
      <c r="CCO20" s="33"/>
      <c r="CCP20" s="33"/>
      <c r="CCQ20" s="33"/>
      <c r="CCR20" s="33"/>
      <c r="CCS20" s="33"/>
      <c r="CCT20" s="33"/>
      <c r="CCU20" s="33"/>
      <c r="CCV20" s="33"/>
      <c r="CCW20" s="33"/>
      <c r="CCX20" s="33"/>
      <c r="CCY20" s="33"/>
      <c r="CCZ20" s="33"/>
      <c r="CDA20" s="33"/>
      <c r="CDB20" s="33"/>
      <c r="CDC20" s="33"/>
      <c r="CDD20" s="33"/>
      <c r="CDE20" s="33"/>
      <c r="CDF20" s="33"/>
      <c r="CDG20" s="33"/>
      <c r="CDH20" s="33"/>
      <c r="CDI20" s="33"/>
      <c r="CDJ20" s="33"/>
      <c r="CDK20" s="33"/>
      <c r="CDL20" s="33"/>
      <c r="CDM20" s="33"/>
      <c r="CDN20" s="33"/>
      <c r="CDO20" s="33"/>
      <c r="CDP20" s="33"/>
      <c r="CDQ20" s="33"/>
      <c r="CDR20" s="33"/>
      <c r="CDS20" s="33"/>
      <c r="CDT20" s="33"/>
      <c r="CDU20" s="33"/>
      <c r="CDV20" s="33"/>
      <c r="CDW20" s="33"/>
      <c r="CDX20" s="33"/>
      <c r="CDY20" s="33"/>
      <c r="CDZ20" s="33"/>
      <c r="CEA20" s="33"/>
      <c r="CEB20" s="33"/>
      <c r="CEC20" s="33"/>
      <c r="CED20" s="33"/>
      <c r="CEE20" s="33"/>
      <c r="CEF20" s="33"/>
      <c r="CEG20" s="33"/>
      <c r="CEH20" s="33"/>
      <c r="CEI20" s="33"/>
      <c r="CEJ20" s="33"/>
      <c r="CEK20" s="33"/>
      <c r="CEL20" s="33"/>
      <c r="CEM20" s="33"/>
      <c r="CEN20" s="33"/>
      <c r="CEO20" s="33"/>
      <c r="CEP20" s="33"/>
      <c r="CEQ20" s="33"/>
      <c r="CER20" s="33"/>
      <c r="CES20" s="33"/>
      <c r="CET20" s="33"/>
      <c r="CEU20" s="33"/>
      <c r="CEV20" s="33"/>
      <c r="CEW20" s="33"/>
      <c r="CEX20" s="33"/>
      <c r="CEY20" s="33"/>
      <c r="CEZ20" s="33"/>
      <c r="CFA20" s="33"/>
      <c r="CFB20" s="33"/>
      <c r="CFC20" s="33"/>
      <c r="CFD20" s="33"/>
      <c r="CFE20" s="33"/>
      <c r="CFF20" s="33"/>
      <c r="CFG20" s="33"/>
      <c r="CFH20" s="33"/>
      <c r="CFI20" s="33"/>
      <c r="CFJ20" s="33"/>
      <c r="CFK20" s="33"/>
      <c r="CFL20" s="33"/>
      <c r="CFM20" s="33"/>
      <c r="CFN20" s="33"/>
      <c r="CFO20" s="33"/>
      <c r="CFP20" s="33"/>
      <c r="CFQ20" s="33"/>
      <c r="CFR20" s="33"/>
      <c r="CFS20" s="33"/>
      <c r="CFT20" s="33"/>
      <c r="CFU20" s="33"/>
      <c r="CFV20" s="33"/>
      <c r="CFW20" s="33"/>
      <c r="CFX20" s="33"/>
      <c r="CFY20" s="33"/>
      <c r="CFZ20" s="33"/>
      <c r="CGA20" s="33"/>
      <c r="CGB20" s="33"/>
      <c r="CGC20" s="33"/>
      <c r="CGD20" s="33"/>
      <c r="CGE20" s="33"/>
      <c r="CGF20" s="33"/>
      <c r="CGG20" s="33"/>
      <c r="CGH20" s="33"/>
      <c r="CGI20" s="33"/>
      <c r="CGJ20" s="33"/>
      <c r="CGK20" s="33"/>
      <c r="CGL20" s="33"/>
      <c r="CGM20" s="33"/>
      <c r="CGN20" s="33"/>
      <c r="CGO20" s="33"/>
      <c r="CGP20" s="33"/>
      <c r="CGQ20" s="33"/>
      <c r="CGR20" s="33"/>
      <c r="CGS20" s="33"/>
      <c r="CGT20" s="33"/>
      <c r="CGU20" s="33"/>
      <c r="CGV20" s="33"/>
      <c r="CGW20" s="33"/>
      <c r="CGX20" s="33"/>
      <c r="CGY20" s="33"/>
      <c r="CGZ20" s="33"/>
      <c r="CHA20" s="33"/>
      <c r="CHB20" s="33"/>
      <c r="CHC20" s="33"/>
      <c r="CHD20" s="33"/>
      <c r="CHE20" s="33"/>
      <c r="CHF20" s="33"/>
      <c r="CHG20" s="33"/>
      <c r="CHH20" s="33"/>
      <c r="CHI20" s="33"/>
      <c r="CHJ20" s="33"/>
      <c r="CHK20" s="33"/>
      <c r="CHL20" s="33"/>
      <c r="CHM20" s="33"/>
      <c r="CHN20" s="33"/>
      <c r="CHO20" s="33"/>
      <c r="CHP20" s="33"/>
      <c r="CHQ20" s="33"/>
      <c r="CHR20" s="33"/>
      <c r="CHS20" s="33"/>
      <c r="CHT20" s="33"/>
      <c r="CHU20" s="33"/>
      <c r="CHV20" s="33"/>
      <c r="CHW20" s="33"/>
      <c r="CHX20" s="33"/>
      <c r="CHY20" s="33"/>
      <c r="CHZ20" s="33"/>
      <c r="CIA20" s="33"/>
      <c r="CIB20" s="33"/>
      <c r="CIC20" s="33"/>
      <c r="CID20" s="33"/>
      <c r="CIE20" s="33"/>
      <c r="CIF20" s="33"/>
      <c r="CIG20" s="33"/>
      <c r="CIH20" s="33"/>
      <c r="CII20" s="33"/>
      <c r="CIJ20" s="33"/>
      <c r="CIK20" s="33"/>
      <c r="CIL20" s="33"/>
      <c r="CIM20" s="33"/>
      <c r="CIN20" s="33"/>
      <c r="CIO20" s="33"/>
      <c r="CIP20" s="33"/>
      <c r="CIQ20" s="33"/>
      <c r="CIR20" s="33"/>
      <c r="CIS20" s="33"/>
      <c r="CIT20" s="33"/>
      <c r="CIU20" s="33"/>
      <c r="CIV20" s="33"/>
      <c r="CIW20" s="33"/>
      <c r="CIX20" s="33"/>
      <c r="CIY20" s="33"/>
      <c r="CIZ20" s="33"/>
      <c r="CJA20" s="33"/>
      <c r="CJB20" s="33"/>
      <c r="CJC20" s="33"/>
      <c r="CJD20" s="33"/>
      <c r="CJE20" s="33"/>
      <c r="CJF20" s="33"/>
      <c r="CJG20" s="33"/>
      <c r="CJH20" s="33"/>
      <c r="CJI20" s="33"/>
      <c r="CJJ20" s="33"/>
      <c r="CJK20" s="33"/>
      <c r="CJL20" s="33"/>
      <c r="CJM20" s="33"/>
      <c r="CJN20" s="33"/>
      <c r="CJO20" s="33"/>
      <c r="CJP20" s="33"/>
      <c r="CJQ20" s="33"/>
      <c r="CJR20" s="33"/>
      <c r="CJS20" s="33"/>
      <c r="CJT20" s="33"/>
      <c r="CJU20" s="33"/>
      <c r="CJV20" s="33"/>
      <c r="CJW20" s="33"/>
      <c r="CJX20" s="33"/>
      <c r="CJY20" s="33"/>
      <c r="CJZ20" s="33"/>
      <c r="CKA20" s="33"/>
      <c r="CKB20" s="33"/>
      <c r="CKC20" s="33"/>
      <c r="CKD20" s="33"/>
      <c r="CKE20" s="33"/>
      <c r="CKF20" s="33"/>
      <c r="CKG20" s="33"/>
      <c r="CKH20" s="33"/>
      <c r="CKI20" s="33"/>
      <c r="CKJ20" s="33"/>
      <c r="CKK20" s="33"/>
      <c r="CKL20" s="33"/>
      <c r="CKM20" s="33"/>
      <c r="CKN20" s="33"/>
      <c r="CKO20" s="33"/>
      <c r="CKP20" s="33"/>
      <c r="CKQ20" s="33"/>
      <c r="CKR20" s="33"/>
      <c r="CKS20" s="33"/>
      <c r="CKT20" s="33"/>
      <c r="CKU20" s="33"/>
      <c r="CKV20" s="33"/>
      <c r="CKW20" s="33"/>
      <c r="CKX20" s="33"/>
      <c r="CKY20" s="33"/>
      <c r="CKZ20" s="33"/>
      <c r="CLA20" s="33"/>
      <c r="CLB20" s="33"/>
      <c r="CLC20" s="33"/>
      <c r="CLD20" s="33"/>
      <c r="CLE20" s="33"/>
      <c r="CLF20" s="33"/>
      <c r="CLG20" s="33"/>
      <c r="CLH20" s="33"/>
      <c r="CLI20" s="33"/>
      <c r="CLJ20" s="33"/>
      <c r="CLK20" s="33"/>
      <c r="CLL20" s="33"/>
      <c r="CLM20" s="33"/>
      <c r="CLN20" s="33"/>
      <c r="CLO20" s="33"/>
      <c r="CLP20" s="33"/>
      <c r="CLQ20" s="33"/>
      <c r="CLR20" s="33"/>
      <c r="CLS20" s="33"/>
      <c r="CLT20" s="33"/>
      <c r="CLU20" s="33"/>
      <c r="CLV20" s="33"/>
      <c r="CLW20" s="33"/>
      <c r="CLX20" s="33"/>
      <c r="CLY20" s="33"/>
      <c r="CLZ20" s="33"/>
      <c r="CMA20" s="33"/>
      <c r="CMB20" s="33"/>
      <c r="CMC20" s="33"/>
      <c r="CMD20" s="33"/>
      <c r="CME20" s="33"/>
      <c r="CMF20" s="33"/>
      <c r="CMG20" s="33"/>
      <c r="CMH20" s="33"/>
      <c r="CMI20" s="33"/>
      <c r="CMJ20" s="33"/>
      <c r="CMK20" s="33"/>
      <c r="CML20" s="33"/>
      <c r="CMM20" s="33"/>
      <c r="CMN20" s="33"/>
      <c r="CMO20" s="33"/>
      <c r="CMP20" s="33"/>
      <c r="CMQ20" s="33"/>
      <c r="CMR20" s="33"/>
      <c r="CMS20" s="33"/>
      <c r="CMT20" s="33"/>
      <c r="CMU20" s="33"/>
      <c r="CMV20" s="33"/>
      <c r="CMW20" s="33"/>
      <c r="CMX20" s="33"/>
      <c r="CMY20" s="33"/>
      <c r="CMZ20" s="33"/>
      <c r="CNA20" s="33"/>
      <c r="CNB20" s="33"/>
      <c r="CNC20" s="33"/>
      <c r="CND20" s="33"/>
      <c r="CNE20" s="33"/>
      <c r="CNF20" s="33"/>
      <c r="CNG20" s="33"/>
      <c r="CNH20" s="33"/>
      <c r="CNI20" s="33"/>
      <c r="CNJ20" s="33"/>
      <c r="CNK20" s="33"/>
      <c r="CNL20" s="33"/>
      <c r="CNM20" s="33"/>
      <c r="CNN20" s="33"/>
      <c r="CNO20" s="33"/>
      <c r="CNP20" s="33"/>
      <c r="CNQ20" s="33"/>
      <c r="CNR20" s="33"/>
      <c r="CNS20" s="33"/>
      <c r="CNT20" s="33"/>
      <c r="CNU20" s="33"/>
      <c r="CNV20" s="33"/>
      <c r="CNW20" s="33"/>
      <c r="CNX20" s="33"/>
      <c r="CNY20" s="33"/>
      <c r="CNZ20" s="33"/>
      <c r="COA20" s="33"/>
      <c r="COB20" s="33"/>
      <c r="COC20" s="33"/>
      <c r="COD20" s="33"/>
      <c r="COE20" s="33"/>
      <c r="COF20" s="33"/>
      <c r="COG20" s="33"/>
      <c r="COH20" s="33"/>
      <c r="COI20" s="33"/>
      <c r="COJ20" s="33"/>
      <c r="COK20" s="33"/>
      <c r="COL20" s="33"/>
      <c r="COM20" s="33"/>
      <c r="CON20" s="33"/>
      <c r="COO20" s="33"/>
      <c r="COP20" s="33"/>
      <c r="COQ20" s="33"/>
      <c r="COR20" s="33"/>
      <c r="COS20" s="33"/>
      <c r="COT20" s="33"/>
      <c r="COU20" s="33"/>
      <c r="COV20" s="33"/>
      <c r="COW20" s="33"/>
      <c r="COX20" s="33"/>
      <c r="COY20" s="33"/>
      <c r="COZ20" s="33"/>
      <c r="CPA20" s="33"/>
      <c r="CPB20" s="33"/>
      <c r="CPC20" s="33"/>
      <c r="CPD20" s="33"/>
      <c r="CPE20" s="33"/>
      <c r="CPF20" s="33"/>
      <c r="CPG20" s="33"/>
      <c r="CPH20" s="33"/>
      <c r="CPI20" s="33"/>
      <c r="CPJ20" s="33"/>
      <c r="CPK20" s="33"/>
      <c r="CPL20" s="33"/>
      <c r="CPM20" s="33"/>
      <c r="CPN20" s="33"/>
      <c r="CPO20" s="33"/>
      <c r="CPP20" s="33"/>
      <c r="CPQ20" s="33"/>
      <c r="CPR20" s="33"/>
      <c r="CPS20" s="33"/>
      <c r="CPT20" s="33"/>
      <c r="CPU20" s="33"/>
      <c r="CPV20" s="33"/>
      <c r="CPW20" s="33"/>
      <c r="CPX20" s="33"/>
      <c r="CPY20" s="33"/>
      <c r="CPZ20" s="33"/>
      <c r="CQA20" s="33"/>
      <c r="CQB20" s="33"/>
      <c r="CQC20" s="33"/>
      <c r="CQD20" s="33"/>
      <c r="CQE20" s="33"/>
      <c r="CQF20" s="33"/>
      <c r="CQG20" s="33"/>
      <c r="CQH20" s="33"/>
      <c r="CQI20" s="33"/>
      <c r="CQJ20" s="33"/>
      <c r="CQK20" s="33"/>
      <c r="CQL20" s="33"/>
      <c r="CQM20" s="33"/>
      <c r="CQN20" s="33"/>
      <c r="CQO20" s="33"/>
      <c r="CQP20" s="33"/>
      <c r="CQQ20" s="33"/>
      <c r="CQR20" s="33"/>
      <c r="CQS20" s="33"/>
      <c r="CQT20" s="33"/>
      <c r="CQU20" s="33"/>
      <c r="CQV20" s="33"/>
      <c r="CQW20" s="33"/>
      <c r="CQX20" s="33"/>
      <c r="CQY20" s="33"/>
      <c r="CQZ20" s="33"/>
      <c r="CRA20" s="33"/>
      <c r="CRB20" s="33"/>
      <c r="CRC20" s="33"/>
      <c r="CRD20" s="33"/>
      <c r="CRE20" s="33"/>
      <c r="CRF20" s="33"/>
      <c r="CRG20" s="33"/>
      <c r="CRH20" s="33"/>
      <c r="CRI20" s="33"/>
      <c r="CRJ20" s="33"/>
      <c r="CRK20" s="33"/>
      <c r="CRL20" s="33"/>
      <c r="CRM20" s="33"/>
      <c r="CRN20" s="33"/>
      <c r="CRO20" s="33"/>
      <c r="CRP20" s="33"/>
      <c r="CRQ20" s="33"/>
      <c r="CRR20" s="33"/>
      <c r="CRS20" s="33"/>
      <c r="CRT20" s="33"/>
      <c r="CRU20" s="33"/>
      <c r="CRV20" s="33"/>
      <c r="CRW20" s="33"/>
      <c r="CRX20" s="33"/>
      <c r="CRY20" s="33"/>
      <c r="CRZ20" s="33"/>
      <c r="CSA20" s="33"/>
      <c r="CSB20" s="33"/>
      <c r="CSC20" s="33"/>
      <c r="CSD20" s="33"/>
      <c r="CSE20" s="33"/>
      <c r="CSF20" s="33"/>
      <c r="CSG20" s="33"/>
      <c r="CSH20" s="33"/>
      <c r="CSI20" s="33"/>
      <c r="CSJ20" s="33"/>
      <c r="CSK20" s="33"/>
      <c r="CSL20" s="33"/>
      <c r="CSM20" s="33"/>
      <c r="CSN20" s="33"/>
      <c r="CSO20" s="33"/>
      <c r="CSP20" s="33"/>
      <c r="CSQ20" s="33"/>
      <c r="CSR20" s="33"/>
      <c r="CSS20" s="33"/>
      <c r="CST20" s="33"/>
      <c r="CSU20" s="33"/>
      <c r="CSV20" s="33"/>
      <c r="CSW20" s="33"/>
      <c r="CSX20" s="33"/>
      <c r="CSY20" s="33"/>
      <c r="CSZ20" s="33"/>
      <c r="CTA20" s="33"/>
      <c r="CTB20" s="33"/>
      <c r="CTC20" s="33"/>
      <c r="CTD20" s="33"/>
      <c r="CTE20" s="33"/>
      <c r="CTF20" s="33"/>
      <c r="CTG20" s="33"/>
      <c r="CTH20" s="33"/>
      <c r="CTI20" s="33"/>
      <c r="CTJ20" s="33"/>
      <c r="CTK20" s="33"/>
      <c r="CTL20" s="33"/>
      <c r="CTM20" s="33"/>
      <c r="CTN20" s="33"/>
      <c r="CTO20" s="33"/>
      <c r="CTP20" s="33"/>
      <c r="CTQ20" s="33"/>
      <c r="CTR20" s="33"/>
      <c r="CTS20" s="33"/>
      <c r="CTT20" s="33"/>
      <c r="CTU20" s="33"/>
      <c r="CTV20" s="33"/>
      <c r="CTW20" s="33"/>
      <c r="CTX20" s="33"/>
      <c r="CTY20" s="33"/>
      <c r="CTZ20" s="33"/>
      <c r="CUA20" s="33"/>
      <c r="CUB20" s="33"/>
      <c r="CUC20" s="33"/>
      <c r="CUD20" s="33"/>
      <c r="CUE20" s="33"/>
      <c r="CUF20" s="33"/>
      <c r="CUG20" s="33"/>
      <c r="CUH20" s="33"/>
      <c r="CUI20" s="33"/>
      <c r="CUJ20" s="33"/>
      <c r="CUK20" s="33"/>
      <c r="CUL20" s="33"/>
      <c r="CUM20" s="33"/>
      <c r="CUN20" s="33"/>
      <c r="CUO20" s="33"/>
      <c r="CUP20" s="33"/>
      <c r="CUQ20" s="33"/>
      <c r="CUR20" s="33"/>
      <c r="CUS20" s="33"/>
      <c r="CUT20" s="33"/>
      <c r="CUU20" s="33"/>
      <c r="CUV20" s="33"/>
      <c r="CUW20" s="33"/>
      <c r="CUX20" s="33"/>
      <c r="CUY20" s="33"/>
      <c r="CUZ20" s="33"/>
      <c r="CVA20" s="33"/>
      <c r="CVB20" s="33"/>
      <c r="CVC20" s="33"/>
      <c r="CVD20" s="33"/>
      <c r="CVE20" s="33"/>
      <c r="CVF20" s="33"/>
      <c r="CVG20" s="33"/>
      <c r="CVH20" s="33"/>
      <c r="CVI20" s="33"/>
      <c r="CVJ20" s="33"/>
      <c r="CVK20" s="33"/>
      <c r="CVL20" s="33"/>
      <c r="CVM20" s="33"/>
      <c r="CVN20" s="33"/>
      <c r="CVO20" s="33"/>
      <c r="CVP20" s="33"/>
      <c r="CVQ20" s="33"/>
      <c r="CVR20" s="33"/>
      <c r="CVS20" s="33"/>
      <c r="CVT20" s="33"/>
      <c r="CVU20" s="33"/>
      <c r="CVV20" s="33"/>
      <c r="CVW20" s="33"/>
      <c r="CVX20" s="33"/>
      <c r="CVY20" s="33"/>
      <c r="CVZ20" s="33"/>
      <c r="CWA20" s="33"/>
      <c r="CWB20" s="33"/>
      <c r="CWC20" s="33"/>
      <c r="CWD20" s="33"/>
      <c r="CWE20" s="33"/>
      <c r="CWF20" s="33"/>
      <c r="CWG20" s="33"/>
      <c r="CWH20" s="33"/>
      <c r="CWI20" s="33"/>
      <c r="CWJ20" s="33"/>
      <c r="CWK20" s="33"/>
      <c r="CWL20" s="33"/>
      <c r="CWM20" s="33"/>
      <c r="CWN20" s="33"/>
      <c r="CWO20" s="33"/>
      <c r="CWP20" s="33"/>
      <c r="CWQ20" s="33"/>
      <c r="CWR20" s="33"/>
      <c r="CWS20" s="33"/>
      <c r="CWT20" s="33"/>
      <c r="CWU20" s="33"/>
      <c r="CWV20" s="33"/>
      <c r="CWW20" s="33"/>
      <c r="CWX20" s="33"/>
      <c r="CWY20" s="33"/>
      <c r="CWZ20" s="33"/>
      <c r="CXA20" s="33"/>
      <c r="CXB20" s="33"/>
      <c r="CXC20" s="33"/>
      <c r="CXD20" s="33"/>
      <c r="CXE20" s="33"/>
      <c r="CXF20" s="33"/>
      <c r="CXG20" s="33"/>
      <c r="CXH20" s="33"/>
      <c r="CXI20" s="33"/>
      <c r="CXJ20" s="33"/>
      <c r="CXK20" s="33"/>
      <c r="CXL20" s="33"/>
      <c r="CXM20" s="33"/>
      <c r="CXN20" s="33"/>
      <c r="CXO20" s="33"/>
      <c r="CXP20" s="33"/>
      <c r="CXQ20" s="33"/>
      <c r="CXR20" s="33"/>
      <c r="CXS20" s="33"/>
      <c r="CXT20" s="33"/>
      <c r="CXU20" s="33"/>
      <c r="CXV20" s="33"/>
      <c r="CXW20" s="33"/>
      <c r="CXX20" s="33"/>
      <c r="CXY20" s="33"/>
      <c r="CXZ20" s="33"/>
      <c r="CYA20" s="33"/>
      <c r="CYB20" s="33"/>
      <c r="CYC20" s="33"/>
      <c r="CYD20" s="33"/>
      <c r="CYE20" s="33"/>
      <c r="CYF20" s="33"/>
      <c r="CYG20" s="33"/>
      <c r="CYH20" s="33"/>
      <c r="CYI20" s="33"/>
      <c r="CYJ20" s="33"/>
      <c r="CYK20" s="33"/>
      <c r="CYL20" s="33"/>
      <c r="CYM20" s="33"/>
      <c r="CYN20" s="33"/>
      <c r="CYO20" s="33"/>
      <c r="CYP20" s="33"/>
      <c r="CYQ20" s="33"/>
      <c r="CYR20" s="33"/>
      <c r="CYS20" s="33"/>
      <c r="CYT20" s="33"/>
      <c r="CYU20" s="33"/>
      <c r="CYV20" s="33"/>
      <c r="CYW20" s="33"/>
      <c r="CYX20" s="33"/>
      <c r="CYY20" s="33"/>
      <c r="CYZ20" s="33"/>
      <c r="CZA20" s="33"/>
      <c r="CZB20" s="33"/>
      <c r="CZC20" s="33"/>
      <c r="CZD20" s="33"/>
      <c r="CZE20" s="33"/>
      <c r="CZF20" s="33"/>
      <c r="CZG20" s="33"/>
      <c r="CZH20" s="33"/>
      <c r="CZI20" s="33"/>
      <c r="CZJ20" s="33"/>
      <c r="CZK20" s="33"/>
      <c r="CZL20" s="33"/>
      <c r="CZM20" s="33"/>
      <c r="CZN20" s="33"/>
      <c r="CZO20" s="33"/>
      <c r="CZP20" s="33"/>
      <c r="CZQ20" s="33"/>
      <c r="CZR20" s="33"/>
      <c r="CZS20" s="33"/>
      <c r="CZT20" s="33"/>
      <c r="CZU20" s="33"/>
      <c r="CZV20" s="33"/>
      <c r="CZW20" s="33"/>
      <c r="CZX20" s="33"/>
      <c r="CZY20" s="33"/>
      <c r="CZZ20" s="33"/>
      <c r="DAA20" s="33"/>
      <c r="DAB20" s="33"/>
      <c r="DAC20" s="33"/>
      <c r="DAD20" s="33"/>
      <c r="DAE20" s="33"/>
      <c r="DAF20" s="33"/>
      <c r="DAG20" s="33"/>
      <c r="DAH20" s="33"/>
      <c r="DAI20" s="33"/>
      <c r="DAJ20" s="33"/>
      <c r="DAK20" s="33"/>
      <c r="DAL20" s="33"/>
      <c r="DAM20" s="33"/>
      <c r="DAN20" s="33"/>
      <c r="DAO20" s="33"/>
      <c r="DAP20" s="33"/>
      <c r="DAQ20" s="33"/>
      <c r="DAR20" s="33"/>
      <c r="DAS20" s="33"/>
      <c r="DAT20" s="33"/>
      <c r="DAU20" s="33"/>
      <c r="DAV20" s="33"/>
      <c r="DAW20" s="33"/>
      <c r="DAX20" s="33"/>
      <c r="DAY20" s="33"/>
      <c r="DAZ20" s="33"/>
      <c r="DBA20" s="33"/>
      <c r="DBB20" s="33"/>
      <c r="DBC20" s="33"/>
      <c r="DBD20" s="33"/>
      <c r="DBE20" s="33"/>
      <c r="DBF20" s="33"/>
      <c r="DBG20" s="33"/>
      <c r="DBH20" s="33"/>
      <c r="DBI20" s="33"/>
      <c r="DBJ20" s="33"/>
      <c r="DBK20" s="33"/>
      <c r="DBL20" s="33"/>
      <c r="DBM20" s="33"/>
      <c r="DBN20" s="33"/>
      <c r="DBO20" s="33"/>
      <c r="DBP20" s="33"/>
      <c r="DBQ20" s="33"/>
      <c r="DBR20" s="33"/>
      <c r="DBS20" s="33"/>
      <c r="DBT20" s="33"/>
      <c r="DBU20" s="33"/>
      <c r="DBV20" s="33"/>
      <c r="DBW20" s="33"/>
      <c r="DBX20" s="33"/>
      <c r="DBY20" s="33"/>
      <c r="DBZ20" s="33"/>
      <c r="DCA20" s="33"/>
      <c r="DCB20" s="33"/>
      <c r="DCC20" s="33"/>
      <c r="DCD20" s="33"/>
      <c r="DCE20" s="33"/>
      <c r="DCF20" s="33"/>
      <c r="DCG20" s="33"/>
      <c r="DCH20" s="33"/>
      <c r="DCI20" s="33"/>
      <c r="DCJ20" s="33"/>
      <c r="DCK20" s="33"/>
      <c r="DCL20" s="33"/>
      <c r="DCM20" s="33"/>
      <c r="DCN20" s="33"/>
      <c r="DCO20" s="33"/>
      <c r="DCP20" s="33"/>
      <c r="DCQ20" s="33"/>
      <c r="DCR20" s="33"/>
      <c r="DCS20" s="33"/>
      <c r="DCT20" s="33"/>
      <c r="DCU20" s="33"/>
      <c r="DCV20" s="33"/>
      <c r="DCW20" s="33"/>
      <c r="DCX20" s="33"/>
      <c r="DCY20" s="33"/>
      <c r="DCZ20" s="33"/>
      <c r="DDA20" s="33"/>
      <c r="DDB20" s="33"/>
      <c r="DDC20" s="33"/>
      <c r="DDD20" s="33"/>
      <c r="DDE20" s="33"/>
      <c r="DDF20" s="33"/>
      <c r="DDG20" s="33"/>
      <c r="DDH20" s="33"/>
      <c r="DDI20" s="33"/>
      <c r="DDJ20" s="33"/>
      <c r="DDK20" s="33"/>
      <c r="DDL20" s="33"/>
      <c r="DDM20" s="33"/>
      <c r="DDN20" s="33"/>
      <c r="DDO20" s="33"/>
      <c r="DDP20" s="33"/>
      <c r="DDQ20" s="33"/>
      <c r="DDR20" s="33"/>
      <c r="DDS20" s="33"/>
      <c r="DDT20" s="33"/>
      <c r="DDU20" s="33"/>
      <c r="DDV20" s="33"/>
      <c r="DDW20" s="33"/>
      <c r="DDX20" s="33"/>
      <c r="DDY20" s="33"/>
      <c r="DDZ20" s="33"/>
      <c r="DEA20" s="33"/>
      <c r="DEB20" s="33"/>
      <c r="DEC20" s="33"/>
      <c r="DED20" s="33"/>
      <c r="DEE20" s="33"/>
      <c r="DEF20" s="33"/>
      <c r="DEG20" s="33"/>
      <c r="DEH20" s="33"/>
      <c r="DEI20" s="33"/>
      <c r="DEJ20" s="33"/>
      <c r="DEK20" s="33"/>
      <c r="DEL20" s="33"/>
      <c r="DEM20" s="33"/>
      <c r="DEN20" s="33"/>
      <c r="DEO20" s="33"/>
      <c r="DEP20" s="33"/>
      <c r="DEQ20" s="33"/>
      <c r="DER20" s="33"/>
      <c r="DES20" s="33"/>
      <c r="DET20" s="33"/>
      <c r="DEU20" s="33"/>
      <c r="DEV20" s="33"/>
      <c r="DEW20" s="33"/>
      <c r="DEX20" s="33"/>
      <c r="DEY20" s="33"/>
      <c r="DEZ20" s="33"/>
      <c r="DFA20" s="33"/>
      <c r="DFB20" s="33"/>
      <c r="DFC20" s="33"/>
      <c r="DFD20" s="33"/>
      <c r="DFE20" s="33"/>
      <c r="DFF20" s="33"/>
      <c r="DFG20" s="33"/>
      <c r="DFH20" s="33"/>
      <c r="DFI20" s="33"/>
      <c r="DFJ20" s="33"/>
      <c r="DFK20" s="33"/>
      <c r="DFL20" s="33"/>
      <c r="DFM20" s="33"/>
      <c r="DFN20" s="33"/>
      <c r="DFO20" s="33"/>
      <c r="DFP20" s="33"/>
      <c r="DFQ20" s="33"/>
      <c r="DFR20" s="33"/>
      <c r="DFS20" s="33"/>
      <c r="DFT20" s="33"/>
      <c r="DFU20" s="33"/>
      <c r="DFV20" s="33"/>
      <c r="DFW20" s="33"/>
      <c r="DFX20" s="33"/>
      <c r="DFY20" s="33"/>
      <c r="DFZ20" s="33"/>
      <c r="DGA20" s="33"/>
      <c r="DGB20" s="33"/>
      <c r="DGC20" s="33"/>
      <c r="DGD20" s="33"/>
      <c r="DGE20" s="33"/>
      <c r="DGF20" s="33"/>
      <c r="DGG20" s="33"/>
      <c r="DGH20" s="33"/>
      <c r="DGI20" s="33"/>
      <c r="DGJ20" s="33"/>
      <c r="DGK20" s="33"/>
      <c r="DGL20" s="33"/>
      <c r="DGM20" s="33"/>
      <c r="DGN20" s="33"/>
      <c r="DGO20" s="33"/>
      <c r="DGP20" s="33"/>
      <c r="DGQ20" s="33"/>
      <c r="DGR20" s="33"/>
      <c r="DGS20" s="33"/>
      <c r="DGT20" s="33"/>
      <c r="DGU20" s="33"/>
      <c r="DGV20" s="33"/>
      <c r="DGW20" s="33"/>
      <c r="DGX20" s="33"/>
      <c r="DGY20" s="33"/>
      <c r="DGZ20" s="33"/>
      <c r="DHA20" s="33"/>
      <c r="DHB20" s="33"/>
      <c r="DHC20" s="33"/>
      <c r="DHD20" s="33"/>
      <c r="DHE20" s="33"/>
      <c r="DHF20" s="33"/>
      <c r="DHG20" s="33"/>
      <c r="DHH20" s="33"/>
      <c r="DHI20" s="33"/>
      <c r="DHJ20" s="33"/>
      <c r="DHK20" s="33"/>
      <c r="DHL20" s="33"/>
      <c r="DHM20" s="33"/>
      <c r="DHN20" s="33"/>
      <c r="DHO20" s="33"/>
      <c r="DHP20" s="33"/>
      <c r="DHQ20" s="33"/>
      <c r="DHR20" s="33"/>
      <c r="DHS20" s="33"/>
      <c r="DHT20" s="33"/>
      <c r="DHU20" s="33"/>
      <c r="DHV20" s="33"/>
    </row>
    <row r="21" spans="1:2934" s="32" customFormat="1" ht="24" customHeight="1" x14ac:dyDescent="0.35">
      <c r="A21" s="40">
        <v>17</v>
      </c>
      <c r="B21" s="111"/>
      <c r="C21" s="111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7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86"/>
      <c r="AI21" s="41">
        <f t="shared" si="2"/>
        <v>0</v>
      </c>
      <c r="AJ21" s="31">
        <v>44546</v>
      </c>
      <c r="AK21" s="19"/>
      <c r="AL21" s="95"/>
      <c r="AM21" s="22">
        <f>AI21*(AL6-10)</f>
        <v>0</v>
      </c>
      <c r="AN21" s="49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18</v>
      </c>
      <c r="B22" s="69"/>
      <c r="C22" s="30"/>
      <c r="D22" s="86"/>
      <c r="E22" s="86"/>
      <c r="F22" s="86"/>
      <c r="G22" s="86"/>
      <c r="H22" s="86"/>
      <c r="I22" s="86"/>
      <c r="J22" s="86"/>
      <c r="K22" s="86"/>
      <c r="L22" s="86"/>
      <c r="M22" s="86"/>
      <c r="N22" s="87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41">
        <f t="shared" si="2"/>
        <v>0</v>
      </c>
      <c r="AJ22" s="31">
        <v>44547</v>
      </c>
      <c r="AK22" s="19"/>
      <c r="AL22" s="95"/>
      <c r="AM22" s="22">
        <f>AI22*(AL6-10)</f>
        <v>0</v>
      </c>
      <c r="AN22" s="49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19</v>
      </c>
      <c r="B23" s="69"/>
      <c r="C23" s="30"/>
      <c r="D23" s="86"/>
      <c r="E23" s="86"/>
      <c r="F23" s="86"/>
      <c r="G23" s="86"/>
      <c r="H23" s="86"/>
      <c r="I23" s="86"/>
      <c r="J23" s="86"/>
      <c r="K23" s="86"/>
      <c r="L23" s="86"/>
      <c r="M23" s="86"/>
      <c r="N23" s="87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41">
        <f t="shared" si="2"/>
        <v>0</v>
      </c>
      <c r="AJ23" s="31">
        <v>44548</v>
      </c>
      <c r="AK23" s="19"/>
      <c r="AL23" s="95"/>
      <c r="AM23" s="22">
        <f>AI23*(AL6-10)</f>
        <v>0</v>
      </c>
      <c r="AN23" s="49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20</v>
      </c>
      <c r="B24" s="69"/>
      <c r="C24" s="30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7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41">
        <f t="shared" si="2"/>
        <v>0</v>
      </c>
      <c r="AJ24" s="31">
        <v>44549</v>
      </c>
      <c r="AK24" s="19"/>
      <c r="AL24" s="95"/>
      <c r="AM24" s="22">
        <f>AI24*(AL6-10)</f>
        <v>0</v>
      </c>
      <c r="AN24" s="49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hidden="1" customHeight="1" x14ac:dyDescent="0.35">
      <c r="A25" s="40">
        <v>21</v>
      </c>
      <c r="B25" s="68"/>
      <c r="C25" s="30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7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41">
        <f t="shared" si="2"/>
        <v>0</v>
      </c>
      <c r="AJ25" s="31">
        <v>44550</v>
      </c>
      <c r="AK25" s="19"/>
      <c r="AL25" s="95"/>
      <c r="AM25" s="22">
        <f>AI25*(AL6-10)</f>
        <v>0</v>
      </c>
      <c r="AN25" s="49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22</v>
      </c>
      <c r="B26" s="68"/>
      <c r="C26" s="30"/>
      <c r="D26" s="86"/>
      <c r="E26" s="86"/>
      <c r="F26" s="86"/>
      <c r="G26" s="86"/>
      <c r="H26" s="86"/>
      <c r="I26" s="86"/>
      <c r="J26" s="86"/>
      <c r="K26" s="86"/>
      <c r="L26" s="86"/>
      <c r="M26" s="86"/>
      <c r="N26" s="87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41">
        <f t="shared" si="2"/>
        <v>0</v>
      </c>
      <c r="AJ26" s="31">
        <v>44551</v>
      </c>
      <c r="AK26" s="19"/>
      <c r="AL26" s="95"/>
      <c r="AM26" s="22">
        <f>AI26*(AL6-10)</f>
        <v>0</v>
      </c>
      <c r="AN26" s="49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23</v>
      </c>
      <c r="B27" s="68"/>
      <c r="C27" s="30"/>
      <c r="D27" s="86"/>
      <c r="E27" s="86"/>
      <c r="F27" s="86"/>
      <c r="G27" s="86"/>
      <c r="H27" s="86"/>
      <c r="I27" s="86"/>
      <c r="J27" s="86"/>
      <c r="K27" s="86"/>
      <c r="L27" s="86"/>
      <c r="M27" s="86"/>
      <c r="N27" s="87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86"/>
      <c r="AI27" s="41">
        <f t="shared" si="2"/>
        <v>0</v>
      </c>
      <c r="AJ27" s="31">
        <v>44552</v>
      </c>
      <c r="AK27" s="19"/>
      <c r="AL27" s="95"/>
      <c r="AM27" s="22">
        <f>AI27*(AL6-10)</f>
        <v>0</v>
      </c>
      <c r="AN27" s="49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24</v>
      </c>
      <c r="B28" s="68"/>
      <c r="C28" s="30"/>
      <c r="D28" s="86"/>
      <c r="E28" s="86"/>
      <c r="F28" s="86"/>
      <c r="G28" s="86"/>
      <c r="H28" s="86"/>
      <c r="I28" s="86"/>
      <c r="J28" s="86"/>
      <c r="K28" s="86"/>
      <c r="L28" s="86"/>
      <c r="M28" s="86"/>
      <c r="N28" s="87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86"/>
      <c r="AG28" s="86"/>
      <c r="AH28" s="86"/>
      <c r="AI28" s="41">
        <f t="shared" si="2"/>
        <v>0</v>
      </c>
      <c r="AJ28" s="31">
        <v>44553</v>
      </c>
      <c r="AK28" s="19"/>
      <c r="AL28" s="95"/>
      <c r="AM28" s="22">
        <f>AI28*(AL6-10)</f>
        <v>0</v>
      </c>
      <c r="AN28" s="49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hidden="1" customHeight="1" x14ac:dyDescent="0.35">
      <c r="A29" s="40">
        <v>25</v>
      </c>
      <c r="B29" s="69"/>
      <c r="C29" s="30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7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  <c r="AD29" s="86"/>
      <c r="AE29" s="86"/>
      <c r="AF29" s="86"/>
      <c r="AG29" s="86"/>
      <c r="AH29" s="86"/>
      <c r="AI29" s="41">
        <f t="shared" si="2"/>
        <v>0</v>
      </c>
      <c r="AJ29" s="31">
        <v>44554</v>
      </c>
      <c r="AK29" s="19"/>
      <c r="AL29" s="95"/>
      <c r="AM29" s="22">
        <f>AI29*(AL6-10)</f>
        <v>0</v>
      </c>
      <c r="AN29" s="49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26</v>
      </c>
      <c r="B30" s="69"/>
      <c r="C30" s="30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7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41">
        <f t="shared" si="2"/>
        <v>0</v>
      </c>
      <c r="AJ30" s="31">
        <v>44555</v>
      </c>
      <c r="AK30" s="19"/>
      <c r="AL30" s="95"/>
      <c r="AM30" s="22">
        <f>AI30*(AL6-10)</f>
        <v>0</v>
      </c>
      <c r="AN30" s="49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hidden="1" customHeight="1" x14ac:dyDescent="0.35">
      <c r="A31" s="40">
        <v>27</v>
      </c>
      <c r="B31" s="68"/>
      <c r="C31" s="30"/>
      <c r="D31" s="86"/>
      <c r="E31" s="86"/>
      <c r="F31" s="86"/>
      <c r="G31" s="86"/>
      <c r="H31" s="86"/>
      <c r="I31" s="86"/>
      <c r="J31" s="86"/>
      <c r="K31" s="86"/>
      <c r="L31" s="86"/>
      <c r="M31" s="86"/>
      <c r="N31" s="87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  <c r="AD31" s="86"/>
      <c r="AE31" s="86"/>
      <c r="AF31" s="86"/>
      <c r="AG31" s="86"/>
      <c r="AH31" s="86"/>
      <c r="AI31" s="41">
        <f t="shared" si="2"/>
        <v>0</v>
      </c>
      <c r="AJ31" s="31">
        <v>44556</v>
      </c>
      <c r="AK31" s="19"/>
      <c r="AL31" s="95"/>
      <c r="AM31" s="22">
        <f>AI31*(AL6-10)</f>
        <v>0</v>
      </c>
      <c r="AN31" s="49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hidden="1" customHeight="1" x14ac:dyDescent="0.35">
      <c r="A32" s="40">
        <v>28</v>
      </c>
      <c r="B32" s="68"/>
      <c r="C32" s="30"/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87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41">
        <f t="shared" si="2"/>
        <v>0</v>
      </c>
      <c r="AJ32" s="31">
        <v>44557</v>
      </c>
      <c r="AK32" s="19"/>
      <c r="AL32" s="95"/>
      <c r="AM32" s="22">
        <f>AI32*(AL6-10)</f>
        <v>0</v>
      </c>
      <c r="AN32" s="49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29</v>
      </c>
      <c r="B33" s="69"/>
      <c r="C33" s="30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7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86"/>
      <c r="AG33" s="86"/>
      <c r="AH33" s="86"/>
      <c r="AI33" s="41">
        <f t="shared" si="2"/>
        <v>0</v>
      </c>
      <c r="AJ33" s="31">
        <v>44558</v>
      </c>
      <c r="AK33" s="19"/>
      <c r="AL33" s="95"/>
      <c r="AM33" s="22">
        <f>AI33*(AL6-10)</f>
        <v>0</v>
      </c>
      <c r="AN33" s="49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hidden="1" customHeight="1" x14ac:dyDescent="0.35">
      <c r="A34" s="40">
        <v>30</v>
      </c>
      <c r="B34" s="68"/>
      <c r="C34" s="30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7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  <c r="AI34" s="41">
        <f t="shared" si="2"/>
        <v>0</v>
      </c>
      <c r="AJ34" s="31">
        <v>44469</v>
      </c>
      <c r="AK34" s="19"/>
      <c r="AL34" s="95"/>
      <c r="AM34" s="22">
        <f>AI34*(AL6-10)</f>
        <v>0</v>
      </c>
      <c r="AN34" s="49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101" customFormat="1" ht="24" customHeight="1" x14ac:dyDescent="0.4">
      <c r="A35" s="121"/>
      <c r="B35" s="122"/>
      <c r="C35" s="103">
        <f>SUM(C6:C34)</f>
        <v>5665</v>
      </c>
      <c r="D35" s="86">
        <f t="shared" ref="D35:AI35" si="3">SUM(D6:D34)</f>
        <v>4.5</v>
      </c>
      <c r="E35" s="86">
        <f t="shared" si="3"/>
        <v>3</v>
      </c>
      <c r="F35" s="86">
        <f t="shared" si="3"/>
        <v>6</v>
      </c>
      <c r="G35" s="86">
        <f t="shared" si="3"/>
        <v>6.5</v>
      </c>
      <c r="H35" s="86">
        <f t="shared" si="3"/>
        <v>7.5</v>
      </c>
      <c r="I35" s="86">
        <f t="shared" si="3"/>
        <v>7.5</v>
      </c>
      <c r="J35" s="86">
        <f t="shared" si="3"/>
        <v>7.5</v>
      </c>
      <c r="K35" s="86">
        <f t="shared" si="3"/>
        <v>12</v>
      </c>
      <c r="L35" s="86">
        <f t="shared" si="3"/>
        <v>0</v>
      </c>
      <c r="M35" s="86">
        <f t="shared" si="3"/>
        <v>0</v>
      </c>
      <c r="N35" s="86">
        <f t="shared" si="3"/>
        <v>0</v>
      </c>
      <c r="O35" s="86">
        <f t="shared" si="3"/>
        <v>0</v>
      </c>
      <c r="P35" s="86">
        <f t="shared" si="3"/>
        <v>0</v>
      </c>
      <c r="Q35" s="86">
        <f t="shared" si="3"/>
        <v>0</v>
      </c>
      <c r="R35" s="86">
        <f t="shared" si="3"/>
        <v>0</v>
      </c>
      <c r="S35" s="86">
        <f t="shared" si="3"/>
        <v>0</v>
      </c>
      <c r="T35" s="86">
        <f t="shared" si="3"/>
        <v>0</v>
      </c>
      <c r="U35" s="86">
        <f t="shared" si="3"/>
        <v>0</v>
      </c>
      <c r="V35" s="86">
        <f t="shared" si="3"/>
        <v>0</v>
      </c>
      <c r="W35" s="86">
        <f t="shared" si="3"/>
        <v>0</v>
      </c>
      <c r="X35" s="86">
        <f t="shared" si="3"/>
        <v>0</v>
      </c>
      <c r="Y35" s="86">
        <f t="shared" si="3"/>
        <v>0</v>
      </c>
      <c r="Z35" s="86">
        <f t="shared" si="3"/>
        <v>0</v>
      </c>
      <c r="AA35" s="86">
        <f t="shared" si="3"/>
        <v>0</v>
      </c>
      <c r="AB35" s="86">
        <f t="shared" si="3"/>
        <v>0</v>
      </c>
      <c r="AC35" s="86">
        <f t="shared" si="3"/>
        <v>0</v>
      </c>
      <c r="AD35" s="86">
        <f t="shared" si="3"/>
        <v>0</v>
      </c>
      <c r="AE35" s="86">
        <f t="shared" si="3"/>
        <v>0</v>
      </c>
      <c r="AF35" s="86">
        <f t="shared" si="3"/>
        <v>0</v>
      </c>
      <c r="AG35" s="86">
        <f t="shared" si="3"/>
        <v>0</v>
      </c>
      <c r="AH35" s="86">
        <f t="shared" si="3"/>
        <v>0</v>
      </c>
      <c r="AI35" s="86">
        <f t="shared" si="3"/>
        <v>54.5</v>
      </c>
      <c r="AJ35" s="99"/>
      <c r="AK35" s="104">
        <f>SUM(AK6:AK34)</f>
        <v>3900</v>
      </c>
      <c r="AL35" s="100"/>
      <c r="AM35" s="105">
        <f>SUM(AM6:AM34)</f>
        <v>3900</v>
      </c>
      <c r="AN35" s="106">
        <f>SUM(AN6:AN34)</f>
        <v>1765</v>
      </c>
      <c r="AP35" s="102"/>
      <c r="AQ35" s="102"/>
      <c r="AR35" s="102"/>
      <c r="AS35" s="102"/>
      <c r="AT35" s="102"/>
      <c r="AU35" s="102"/>
      <c r="AV35" s="102"/>
      <c r="AW35" s="102"/>
      <c r="AX35" s="102"/>
      <c r="AY35" s="102"/>
      <c r="AZ35" s="102"/>
      <c r="BA35" s="102"/>
      <c r="BB35" s="102"/>
      <c r="BC35" s="102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  <c r="BP35" s="102"/>
      <c r="BQ35" s="102"/>
      <c r="BR35" s="102"/>
      <c r="BS35" s="102"/>
      <c r="BT35" s="102"/>
      <c r="BU35" s="102"/>
      <c r="BV35" s="102"/>
      <c r="BW35" s="102"/>
      <c r="BX35" s="102"/>
      <c r="BY35" s="102"/>
      <c r="BZ35" s="102"/>
      <c r="CA35" s="102"/>
      <c r="CB35" s="102"/>
      <c r="CC35" s="102"/>
      <c r="CD35" s="102"/>
      <c r="CE35" s="102"/>
      <c r="CF35" s="102"/>
      <c r="CG35" s="102"/>
      <c r="CH35" s="102"/>
      <c r="CI35" s="102"/>
      <c r="CJ35" s="102"/>
      <c r="CK35" s="102"/>
      <c r="CL35" s="102"/>
      <c r="CM35" s="102"/>
      <c r="CN35" s="102"/>
      <c r="CO35" s="102"/>
      <c r="CP35" s="102"/>
      <c r="CQ35" s="102"/>
      <c r="CR35" s="102"/>
      <c r="CS35" s="102"/>
      <c r="CT35" s="102"/>
      <c r="CU35" s="102"/>
      <c r="CV35" s="102"/>
      <c r="CW35" s="102"/>
      <c r="CX35" s="102"/>
      <c r="CY35" s="102"/>
      <c r="CZ35" s="102"/>
      <c r="DA35" s="102"/>
      <c r="DB35" s="102"/>
      <c r="DC35" s="102"/>
      <c r="DD35" s="102"/>
      <c r="DE35" s="102"/>
      <c r="DF35" s="102"/>
      <c r="DG35" s="102"/>
      <c r="DH35" s="102"/>
      <c r="DI35" s="102"/>
      <c r="DJ35" s="102"/>
      <c r="DK35" s="102"/>
      <c r="DL35" s="102"/>
      <c r="DM35" s="102"/>
      <c r="DN35" s="102"/>
      <c r="DO35" s="102"/>
      <c r="DP35" s="102"/>
      <c r="DQ35" s="102"/>
      <c r="DR35" s="102"/>
      <c r="DS35" s="102"/>
      <c r="DT35" s="102"/>
      <c r="DU35" s="102"/>
      <c r="DV35" s="102"/>
      <c r="DW35" s="102"/>
      <c r="DX35" s="102"/>
      <c r="DY35" s="102"/>
      <c r="DZ35" s="102"/>
      <c r="EA35" s="102"/>
      <c r="EB35" s="102"/>
      <c r="EC35" s="102"/>
      <c r="ED35" s="102"/>
      <c r="EE35" s="102"/>
      <c r="EF35" s="102"/>
      <c r="EG35" s="102"/>
      <c r="EH35" s="102"/>
      <c r="EI35" s="102"/>
      <c r="EJ35" s="102"/>
      <c r="EK35" s="102"/>
      <c r="EL35" s="102"/>
      <c r="EM35" s="102"/>
      <c r="EN35" s="102"/>
      <c r="EO35" s="102"/>
      <c r="EP35" s="102"/>
      <c r="EQ35" s="102"/>
      <c r="ER35" s="102"/>
      <c r="ES35" s="102"/>
      <c r="ET35" s="102"/>
      <c r="EU35" s="102"/>
      <c r="EV35" s="102"/>
      <c r="EW35" s="102"/>
      <c r="EX35" s="102"/>
      <c r="EY35" s="102"/>
      <c r="EZ35" s="102"/>
      <c r="FA35" s="102"/>
      <c r="FB35" s="102"/>
      <c r="FC35" s="102"/>
      <c r="FD35" s="102"/>
      <c r="FE35" s="102"/>
      <c r="FF35" s="102"/>
      <c r="FG35" s="102"/>
      <c r="FH35" s="102"/>
      <c r="FI35" s="102"/>
      <c r="FJ35" s="102"/>
      <c r="FK35" s="102"/>
      <c r="FL35" s="102"/>
      <c r="FM35" s="102"/>
      <c r="FN35" s="102"/>
      <c r="FO35" s="102"/>
      <c r="FP35" s="102"/>
      <c r="FQ35" s="102"/>
      <c r="FR35" s="102"/>
      <c r="FS35" s="102"/>
      <c r="FT35" s="102"/>
      <c r="FU35" s="102"/>
      <c r="FV35" s="102"/>
      <c r="FW35" s="102"/>
      <c r="FX35" s="102"/>
      <c r="FY35" s="102"/>
      <c r="FZ35" s="102"/>
      <c r="GA35" s="102"/>
      <c r="GB35" s="102"/>
      <c r="GC35" s="102"/>
      <c r="GD35" s="102"/>
      <c r="GE35" s="102"/>
      <c r="GF35" s="102"/>
      <c r="GG35" s="102"/>
      <c r="GH35" s="102"/>
      <c r="GI35" s="102"/>
      <c r="GJ35" s="102"/>
      <c r="GK35" s="102"/>
      <c r="GL35" s="102"/>
      <c r="GM35" s="102"/>
      <c r="GN35" s="102"/>
      <c r="GO35" s="102"/>
      <c r="GP35" s="102"/>
      <c r="GQ35" s="102"/>
      <c r="GR35" s="102"/>
      <c r="GS35" s="102"/>
      <c r="GT35" s="102"/>
      <c r="GU35" s="102"/>
      <c r="GV35" s="102"/>
      <c r="GW35" s="102"/>
      <c r="GX35" s="102"/>
      <c r="GY35" s="102"/>
      <c r="GZ35" s="102"/>
      <c r="HA35" s="102"/>
      <c r="HB35" s="102"/>
      <c r="HC35" s="102"/>
      <c r="HD35" s="102"/>
      <c r="HE35" s="102"/>
      <c r="HF35" s="102"/>
      <c r="HG35" s="102"/>
      <c r="HH35" s="102"/>
      <c r="HI35" s="102"/>
      <c r="HJ35" s="102"/>
      <c r="HK35" s="102"/>
      <c r="HL35" s="102"/>
      <c r="HM35" s="102"/>
      <c r="HN35" s="102"/>
      <c r="HO35" s="102"/>
      <c r="HP35" s="102"/>
      <c r="HQ35" s="102"/>
      <c r="HR35" s="102"/>
      <c r="HS35" s="102"/>
      <c r="HT35" s="102"/>
      <c r="HU35" s="102"/>
      <c r="HV35" s="102"/>
      <c r="HW35" s="102"/>
      <c r="HX35" s="102"/>
      <c r="HY35" s="102"/>
      <c r="HZ35" s="102"/>
      <c r="IA35" s="102"/>
      <c r="IB35" s="102"/>
      <c r="IC35" s="102"/>
      <c r="ID35" s="102"/>
      <c r="IE35" s="102"/>
      <c r="IF35" s="102"/>
      <c r="IG35" s="102"/>
      <c r="IH35" s="102"/>
      <c r="II35" s="102"/>
      <c r="IJ35" s="102"/>
      <c r="IK35" s="102"/>
      <c r="IL35" s="102"/>
      <c r="IM35" s="102"/>
      <c r="IN35" s="102"/>
      <c r="IO35" s="102"/>
      <c r="IP35" s="102"/>
      <c r="IQ35" s="102"/>
      <c r="IR35" s="102"/>
      <c r="IS35" s="102"/>
      <c r="IT35" s="102"/>
      <c r="IU35" s="102"/>
      <c r="IV35" s="102"/>
      <c r="IW35" s="102"/>
      <c r="IX35" s="102"/>
      <c r="IY35" s="102"/>
      <c r="IZ35" s="102"/>
      <c r="JA35" s="102"/>
      <c r="JB35" s="102"/>
      <c r="JC35" s="102"/>
      <c r="JD35" s="102"/>
      <c r="JE35" s="102"/>
      <c r="JF35" s="102"/>
      <c r="JG35" s="102"/>
      <c r="JH35" s="102"/>
      <c r="JI35" s="102"/>
      <c r="JJ35" s="102"/>
      <c r="JK35" s="102"/>
      <c r="JL35" s="102"/>
      <c r="JM35" s="102"/>
      <c r="JN35" s="102"/>
      <c r="JO35" s="102"/>
      <c r="JP35" s="102"/>
      <c r="JQ35" s="102"/>
      <c r="JR35" s="102"/>
      <c r="JS35" s="102"/>
      <c r="JT35" s="102"/>
      <c r="JU35" s="102"/>
      <c r="JV35" s="102"/>
      <c r="JW35" s="102"/>
      <c r="JX35" s="102"/>
      <c r="JY35" s="102"/>
      <c r="JZ35" s="102"/>
      <c r="KA35" s="102"/>
      <c r="KB35" s="102"/>
      <c r="KC35" s="102"/>
      <c r="KD35" s="102"/>
      <c r="KE35" s="102"/>
      <c r="KF35" s="102"/>
      <c r="KG35" s="102"/>
      <c r="KH35" s="102"/>
      <c r="KI35" s="102"/>
      <c r="KJ35" s="102"/>
      <c r="KK35" s="102"/>
      <c r="KL35" s="102"/>
      <c r="KM35" s="102"/>
      <c r="KN35" s="102"/>
      <c r="KO35" s="102"/>
      <c r="KP35" s="102"/>
      <c r="KQ35" s="102"/>
      <c r="KR35" s="102"/>
      <c r="KS35" s="102"/>
      <c r="KT35" s="102"/>
      <c r="KU35" s="102"/>
      <c r="KV35" s="102"/>
      <c r="KW35" s="102"/>
      <c r="KX35" s="102"/>
      <c r="KY35" s="102"/>
      <c r="KZ35" s="102"/>
      <c r="LA35" s="102"/>
      <c r="LB35" s="102"/>
      <c r="LC35" s="102"/>
      <c r="LD35" s="102"/>
      <c r="LE35" s="102"/>
      <c r="LF35" s="102"/>
      <c r="LG35" s="102"/>
      <c r="LH35" s="102"/>
      <c r="LI35" s="102"/>
      <c r="LJ35" s="102"/>
      <c r="LK35" s="102"/>
      <c r="LL35" s="102"/>
      <c r="LM35" s="102"/>
      <c r="LN35" s="102"/>
      <c r="LO35" s="102"/>
      <c r="LP35" s="102"/>
      <c r="LQ35" s="102"/>
      <c r="LR35" s="102"/>
      <c r="LS35" s="102"/>
      <c r="LT35" s="102"/>
      <c r="LU35" s="102"/>
      <c r="LV35" s="102"/>
      <c r="LW35" s="102"/>
      <c r="LX35" s="102"/>
      <c r="LY35" s="102"/>
      <c r="LZ35" s="102"/>
      <c r="MA35" s="102"/>
      <c r="MB35" s="102"/>
      <c r="MC35" s="102"/>
      <c r="MD35" s="102"/>
      <c r="ME35" s="102"/>
      <c r="MF35" s="102"/>
      <c r="MG35" s="102"/>
      <c r="MH35" s="102"/>
      <c r="MI35" s="102"/>
      <c r="MJ35" s="102"/>
      <c r="MK35" s="102"/>
      <c r="ML35" s="102"/>
      <c r="MM35" s="102"/>
      <c r="MN35" s="102"/>
      <c r="MO35" s="102"/>
      <c r="MP35" s="102"/>
      <c r="MQ35" s="102"/>
      <c r="MR35" s="102"/>
      <c r="MS35" s="102"/>
      <c r="MT35" s="102"/>
      <c r="MU35" s="102"/>
      <c r="MV35" s="102"/>
      <c r="MW35" s="102"/>
      <c r="MX35" s="102"/>
      <c r="MY35" s="102"/>
      <c r="MZ35" s="102"/>
      <c r="NA35" s="102"/>
      <c r="NB35" s="102"/>
      <c r="NC35" s="102"/>
      <c r="ND35" s="102"/>
      <c r="NE35" s="102"/>
      <c r="NF35" s="102"/>
      <c r="NG35" s="102"/>
      <c r="NH35" s="102"/>
      <c r="NI35" s="102"/>
      <c r="NJ35" s="102"/>
      <c r="NK35" s="102"/>
      <c r="NL35" s="102"/>
      <c r="NM35" s="102"/>
      <c r="NN35" s="102"/>
      <c r="NO35" s="102"/>
      <c r="NP35" s="102"/>
      <c r="NQ35" s="102"/>
      <c r="NR35" s="102"/>
      <c r="NS35" s="102"/>
      <c r="NT35" s="102"/>
      <c r="NU35" s="102"/>
      <c r="NV35" s="102"/>
      <c r="NW35" s="102"/>
      <c r="NX35" s="102"/>
      <c r="NY35" s="102"/>
      <c r="NZ35" s="102"/>
      <c r="OA35" s="102"/>
      <c r="OB35" s="102"/>
      <c r="OC35" s="102"/>
      <c r="OD35" s="102"/>
      <c r="OE35" s="102"/>
      <c r="OF35" s="102"/>
      <c r="OG35" s="102"/>
      <c r="OH35" s="102"/>
      <c r="OI35" s="102"/>
      <c r="OJ35" s="102"/>
      <c r="OK35" s="102"/>
      <c r="OL35" s="102"/>
      <c r="OM35" s="102"/>
      <c r="ON35" s="102"/>
      <c r="OO35" s="102"/>
      <c r="OP35" s="102"/>
      <c r="OQ35" s="102"/>
      <c r="OR35" s="102"/>
      <c r="OS35" s="102"/>
      <c r="OT35" s="102"/>
      <c r="OU35" s="102"/>
      <c r="OV35" s="102"/>
      <c r="OW35" s="102"/>
      <c r="OX35" s="102"/>
      <c r="OY35" s="102"/>
      <c r="OZ35" s="102"/>
      <c r="PA35" s="102"/>
      <c r="PB35" s="102"/>
      <c r="PC35" s="102"/>
      <c r="PD35" s="102"/>
      <c r="PE35" s="102"/>
      <c r="PF35" s="102"/>
      <c r="PG35" s="102"/>
      <c r="PH35" s="102"/>
      <c r="PI35" s="102"/>
      <c r="PJ35" s="102"/>
      <c r="PK35" s="102"/>
      <c r="PL35" s="102"/>
      <c r="PM35" s="102"/>
      <c r="PN35" s="102"/>
      <c r="PO35" s="102"/>
      <c r="PP35" s="102"/>
      <c r="PQ35" s="102"/>
      <c r="PR35" s="102"/>
      <c r="PS35" s="102"/>
      <c r="PT35" s="102"/>
      <c r="PU35" s="102"/>
      <c r="PV35" s="102"/>
      <c r="PW35" s="102"/>
      <c r="PX35" s="102"/>
      <c r="PY35" s="102"/>
      <c r="PZ35" s="102"/>
      <c r="QA35" s="102"/>
      <c r="QB35" s="102"/>
      <c r="QC35" s="102"/>
      <c r="QD35" s="102"/>
      <c r="QE35" s="102"/>
      <c r="QF35" s="102"/>
      <c r="QG35" s="102"/>
      <c r="QH35" s="102"/>
      <c r="QI35" s="102"/>
      <c r="QJ35" s="102"/>
      <c r="QK35" s="102"/>
      <c r="QL35" s="102"/>
      <c r="QM35" s="102"/>
      <c r="QN35" s="102"/>
      <c r="QO35" s="102"/>
      <c r="QP35" s="102"/>
      <c r="QQ35" s="102"/>
      <c r="QR35" s="102"/>
      <c r="QS35" s="102"/>
      <c r="QT35" s="102"/>
      <c r="QU35" s="102"/>
      <c r="QV35" s="102"/>
      <c r="QW35" s="102"/>
      <c r="QX35" s="102"/>
      <c r="QY35" s="102"/>
      <c r="QZ35" s="102"/>
      <c r="RA35" s="102"/>
      <c r="RB35" s="102"/>
      <c r="RC35" s="102"/>
      <c r="RD35" s="102"/>
      <c r="RE35" s="102"/>
      <c r="RF35" s="102"/>
      <c r="RG35" s="102"/>
      <c r="RH35" s="102"/>
      <c r="RI35" s="102"/>
      <c r="RJ35" s="102"/>
      <c r="RK35" s="102"/>
      <c r="RL35" s="102"/>
      <c r="RM35" s="102"/>
      <c r="RN35" s="102"/>
      <c r="RO35" s="102"/>
      <c r="RP35" s="102"/>
      <c r="RQ35" s="102"/>
      <c r="RR35" s="102"/>
      <c r="RS35" s="102"/>
      <c r="RT35" s="102"/>
      <c r="RU35" s="102"/>
      <c r="RV35" s="102"/>
      <c r="RW35" s="102"/>
      <c r="RX35" s="102"/>
      <c r="RY35" s="102"/>
      <c r="RZ35" s="102"/>
      <c r="SA35" s="102"/>
      <c r="SB35" s="102"/>
      <c r="SC35" s="102"/>
      <c r="SD35" s="102"/>
      <c r="SE35" s="102"/>
      <c r="SF35" s="102"/>
      <c r="SG35" s="102"/>
      <c r="SH35" s="102"/>
      <c r="SI35" s="102"/>
      <c r="SJ35" s="102"/>
      <c r="SK35" s="102"/>
      <c r="SL35" s="102"/>
      <c r="SM35" s="102"/>
      <c r="SN35" s="102"/>
      <c r="SO35" s="102"/>
      <c r="SP35" s="102"/>
      <c r="SQ35" s="102"/>
      <c r="SR35" s="102"/>
      <c r="SS35" s="102"/>
      <c r="ST35" s="102"/>
      <c r="SU35" s="102"/>
      <c r="SV35" s="102"/>
      <c r="SW35" s="102"/>
      <c r="SX35" s="102"/>
      <c r="SY35" s="102"/>
      <c r="SZ35" s="102"/>
      <c r="TA35" s="102"/>
      <c r="TB35" s="102"/>
      <c r="TC35" s="102"/>
      <c r="TD35" s="102"/>
      <c r="TE35" s="102"/>
      <c r="TF35" s="102"/>
      <c r="TG35" s="102"/>
      <c r="TH35" s="102"/>
      <c r="TI35" s="102"/>
      <c r="TJ35" s="102"/>
      <c r="TK35" s="102"/>
      <c r="TL35" s="102"/>
      <c r="TM35" s="102"/>
      <c r="TN35" s="102"/>
      <c r="TO35" s="102"/>
      <c r="TP35" s="102"/>
      <c r="TQ35" s="102"/>
      <c r="TR35" s="102"/>
      <c r="TS35" s="102"/>
      <c r="TT35" s="102"/>
      <c r="TU35" s="102"/>
      <c r="TV35" s="102"/>
      <c r="TW35" s="102"/>
      <c r="TX35" s="102"/>
      <c r="TY35" s="102"/>
      <c r="TZ35" s="102"/>
      <c r="UA35" s="102"/>
      <c r="UB35" s="102"/>
      <c r="UC35" s="102"/>
      <c r="UD35" s="102"/>
      <c r="UE35" s="102"/>
      <c r="UF35" s="102"/>
      <c r="UG35" s="102"/>
      <c r="UH35" s="102"/>
      <c r="UI35" s="102"/>
      <c r="UJ35" s="102"/>
      <c r="UK35" s="102"/>
      <c r="UL35" s="102"/>
      <c r="UM35" s="102"/>
      <c r="UN35" s="102"/>
      <c r="UO35" s="102"/>
      <c r="UP35" s="102"/>
      <c r="UQ35" s="102"/>
      <c r="UR35" s="102"/>
      <c r="US35" s="102"/>
      <c r="UT35" s="102"/>
      <c r="UU35" s="102"/>
      <c r="UV35" s="102"/>
      <c r="UW35" s="102"/>
      <c r="UX35" s="102"/>
      <c r="UY35" s="102"/>
      <c r="UZ35" s="102"/>
      <c r="VA35" s="102"/>
      <c r="VB35" s="102"/>
      <c r="VC35" s="102"/>
      <c r="VD35" s="102"/>
      <c r="VE35" s="102"/>
      <c r="VF35" s="102"/>
      <c r="VG35" s="102"/>
      <c r="VH35" s="102"/>
      <c r="VI35" s="102"/>
      <c r="VJ35" s="102"/>
      <c r="VK35" s="102"/>
      <c r="VL35" s="102"/>
      <c r="VM35" s="102"/>
      <c r="VN35" s="102"/>
      <c r="VO35" s="102"/>
      <c r="VP35" s="102"/>
      <c r="VQ35" s="102"/>
      <c r="VR35" s="102"/>
      <c r="VS35" s="102"/>
      <c r="VT35" s="102"/>
      <c r="VU35" s="102"/>
      <c r="VV35" s="102"/>
      <c r="VW35" s="102"/>
      <c r="VX35" s="102"/>
      <c r="VY35" s="102"/>
      <c r="VZ35" s="102"/>
      <c r="WA35" s="102"/>
      <c r="WB35" s="102"/>
      <c r="WC35" s="102"/>
      <c r="WD35" s="102"/>
      <c r="WE35" s="102"/>
      <c r="WF35" s="102"/>
      <c r="WG35" s="102"/>
      <c r="WH35" s="102"/>
      <c r="WI35" s="102"/>
      <c r="WJ35" s="102"/>
      <c r="WK35" s="102"/>
      <c r="WL35" s="102"/>
      <c r="WM35" s="102"/>
      <c r="WN35" s="102"/>
      <c r="WO35" s="102"/>
      <c r="WP35" s="102"/>
      <c r="WQ35" s="102"/>
      <c r="WR35" s="102"/>
      <c r="WS35" s="102"/>
      <c r="WT35" s="102"/>
      <c r="WU35" s="102"/>
      <c r="WV35" s="102"/>
      <c r="WW35" s="102"/>
      <c r="WX35" s="102"/>
      <c r="WY35" s="102"/>
      <c r="WZ35" s="102"/>
      <c r="XA35" s="102"/>
      <c r="XB35" s="102"/>
      <c r="XC35" s="102"/>
      <c r="XD35" s="102"/>
      <c r="XE35" s="102"/>
      <c r="XF35" s="102"/>
      <c r="XG35" s="102"/>
      <c r="XH35" s="102"/>
      <c r="XI35" s="102"/>
      <c r="XJ35" s="102"/>
      <c r="XK35" s="102"/>
      <c r="XL35" s="102"/>
      <c r="XM35" s="102"/>
      <c r="XN35" s="102"/>
      <c r="XO35" s="102"/>
      <c r="XP35" s="102"/>
      <c r="XQ35" s="102"/>
      <c r="XR35" s="102"/>
      <c r="XS35" s="102"/>
      <c r="XT35" s="102"/>
      <c r="XU35" s="102"/>
      <c r="XV35" s="102"/>
      <c r="XW35" s="102"/>
      <c r="XX35" s="102"/>
      <c r="XY35" s="102"/>
      <c r="XZ35" s="102"/>
      <c r="YA35" s="102"/>
      <c r="YB35" s="102"/>
      <c r="YC35" s="102"/>
      <c r="YD35" s="102"/>
      <c r="YE35" s="102"/>
      <c r="YF35" s="102"/>
      <c r="YG35" s="102"/>
      <c r="YH35" s="102"/>
      <c r="YI35" s="102"/>
      <c r="YJ35" s="102"/>
      <c r="YK35" s="102"/>
      <c r="YL35" s="102"/>
      <c r="YM35" s="102"/>
      <c r="YN35" s="102"/>
      <c r="YO35" s="102"/>
      <c r="YP35" s="102"/>
      <c r="YQ35" s="102"/>
      <c r="YR35" s="102"/>
      <c r="YS35" s="102"/>
      <c r="YT35" s="102"/>
      <c r="YU35" s="102"/>
      <c r="YV35" s="102"/>
      <c r="YW35" s="102"/>
      <c r="YX35" s="102"/>
      <c r="YY35" s="102"/>
      <c r="YZ35" s="102"/>
      <c r="ZA35" s="102"/>
      <c r="ZB35" s="102"/>
      <c r="ZC35" s="102"/>
      <c r="ZD35" s="102"/>
      <c r="ZE35" s="102"/>
      <c r="ZF35" s="102"/>
      <c r="ZG35" s="102"/>
      <c r="ZH35" s="102"/>
      <c r="ZI35" s="102"/>
      <c r="ZJ35" s="102"/>
      <c r="ZK35" s="102"/>
      <c r="ZL35" s="102"/>
      <c r="ZM35" s="102"/>
      <c r="ZN35" s="102"/>
      <c r="ZO35" s="102"/>
      <c r="ZP35" s="102"/>
      <c r="ZQ35" s="102"/>
      <c r="ZR35" s="102"/>
      <c r="ZS35" s="102"/>
      <c r="ZT35" s="102"/>
      <c r="ZU35" s="102"/>
      <c r="ZV35" s="102"/>
      <c r="ZW35" s="102"/>
      <c r="ZX35" s="102"/>
      <c r="ZY35" s="102"/>
      <c r="ZZ35" s="102"/>
      <c r="AAA35" s="102"/>
      <c r="AAB35" s="102"/>
      <c r="AAC35" s="102"/>
      <c r="AAD35" s="102"/>
      <c r="AAE35" s="102"/>
      <c r="AAF35" s="102"/>
      <c r="AAG35" s="102"/>
      <c r="AAH35" s="102"/>
      <c r="AAI35" s="102"/>
      <c r="AAJ35" s="102"/>
      <c r="AAK35" s="102"/>
      <c r="AAL35" s="102"/>
      <c r="AAM35" s="102"/>
      <c r="AAN35" s="102"/>
      <c r="AAO35" s="102"/>
      <c r="AAP35" s="102"/>
      <c r="AAQ35" s="102"/>
      <c r="AAR35" s="102"/>
      <c r="AAS35" s="102"/>
      <c r="AAT35" s="102"/>
      <c r="AAU35" s="102"/>
      <c r="AAV35" s="102"/>
      <c r="AAW35" s="102"/>
      <c r="AAX35" s="102"/>
      <c r="AAY35" s="102"/>
      <c r="AAZ35" s="102"/>
      <c r="ABA35" s="102"/>
      <c r="ABB35" s="102"/>
      <c r="ABC35" s="102"/>
      <c r="ABD35" s="102"/>
      <c r="ABE35" s="102"/>
      <c r="ABF35" s="102"/>
      <c r="ABG35" s="102"/>
      <c r="ABH35" s="102"/>
      <c r="ABI35" s="102"/>
      <c r="ABJ35" s="102"/>
      <c r="ABK35" s="102"/>
      <c r="ABL35" s="102"/>
      <c r="ABM35" s="102"/>
      <c r="ABN35" s="102"/>
      <c r="ABO35" s="102"/>
      <c r="ABP35" s="102"/>
      <c r="ABQ35" s="102"/>
      <c r="ABR35" s="102"/>
      <c r="ABS35" s="102"/>
      <c r="ABT35" s="102"/>
      <c r="ABU35" s="102"/>
      <c r="ABV35" s="102"/>
      <c r="ABW35" s="102"/>
      <c r="ABX35" s="102"/>
      <c r="ABY35" s="102"/>
      <c r="ABZ35" s="102"/>
      <c r="ACA35" s="102"/>
      <c r="ACB35" s="102"/>
      <c r="ACC35" s="102"/>
      <c r="ACD35" s="102"/>
      <c r="ACE35" s="102"/>
      <c r="ACF35" s="102"/>
      <c r="ACG35" s="102"/>
      <c r="ACH35" s="102"/>
      <c r="ACI35" s="102"/>
      <c r="ACJ35" s="102"/>
      <c r="ACK35" s="102"/>
      <c r="ACL35" s="102"/>
      <c r="ACM35" s="102"/>
      <c r="ACN35" s="102"/>
      <c r="ACO35" s="102"/>
      <c r="ACP35" s="102"/>
      <c r="ACQ35" s="102"/>
      <c r="ACR35" s="102"/>
      <c r="ACS35" s="102"/>
      <c r="ACT35" s="102"/>
      <c r="ACU35" s="102"/>
      <c r="ACV35" s="102"/>
      <c r="ACW35" s="102"/>
      <c r="ACX35" s="102"/>
      <c r="ACY35" s="102"/>
      <c r="ACZ35" s="102"/>
      <c r="ADA35" s="102"/>
      <c r="ADB35" s="102"/>
      <c r="ADC35" s="102"/>
      <c r="ADD35" s="102"/>
      <c r="ADE35" s="102"/>
      <c r="ADF35" s="102"/>
      <c r="ADG35" s="102"/>
      <c r="ADH35" s="102"/>
      <c r="ADI35" s="102"/>
      <c r="ADJ35" s="102"/>
      <c r="ADK35" s="102"/>
      <c r="ADL35" s="102"/>
      <c r="ADM35" s="102"/>
      <c r="ADN35" s="102"/>
      <c r="ADO35" s="102"/>
      <c r="ADP35" s="102"/>
      <c r="ADQ35" s="102"/>
      <c r="ADR35" s="102"/>
      <c r="ADS35" s="102"/>
      <c r="ADT35" s="102"/>
      <c r="ADU35" s="102"/>
      <c r="ADV35" s="102"/>
      <c r="ADW35" s="102"/>
      <c r="ADX35" s="102"/>
      <c r="ADY35" s="102"/>
      <c r="ADZ35" s="102"/>
      <c r="AEA35" s="102"/>
      <c r="AEB35" s="102"/>
      <c r="AEC35" s="102"/>
      <c r="AED35" s="102"/>
      <c r="AEE35" s="102"/>
      <c r="AEF35" s="102"/>
      <c r="AEG35" s="102"/>
      <c r="AEH35" s="102"/>
      <c r="AEI35" s="102"/>
      <c r="AEJ35" s="102"/>
      <c r="AEK35" s="102"/>
      <c r="AEL35" s="102"/>
      <c r="AEM35" s="102"/>
      <c r="AEN35" s="102"/>
      <c r="AEO35" s="102"/>
      <c r="AEP35" s="102"/>
      <c r="AEQ35" s="102"/>
      <c r="AER35" s="102"/>
      <c r="AES35" s="102"/>
      <c r="AET35" s="102"/>
      <c r="AEU35" s="102"/>
      <c r="AEV35" s="102"/>
      <c r="AEW35" s="102"/>
      <c r="AEX35" s="102"/>
      <c r="AEY35" s="102"/>
      <c r="AEZ35" s="102"/>
      <c r="AFA35" s="102"/>
      <c r="AFB35" s="102"/>
      <c r="AFC35" s="102"/>
      <c r="AFD35" s="102"/>
      <c r="AFE35" s="102"/>
      <c r="AFF35" s="102"/>
      <c r="AFG35" s="102"/>
      <c r="AFH35" s="102"/>
      <c r="AFI35" s="102"/>
      <c r="AFJ35" s="102"/>
      <c r="AFK35" s="102"/>
      <c r="AFL35" s="102"/>
      <c r="AFM35" s="102"/>
      <c r="AFN35" s="102"/>
      <c r="AFO35" s="102"/>
      <c r="AFP35" s="102"/>
      <c r="AFQ35" s="102"/>
      <c r="AFR35" s="102"/>
      <c r="AFS35" s="102"/>
      <c r="AFT35" s="102"/>
      <c r="AFU35" s="102"/>
      <c r="AFV35" s="102"/>
      <c r="AFW35" s="102"/>
      <c r="AFX35" s="102"/>
      <c r="AFY35" s="102"/>
      <c r="AFZ35" s="102"/>
      <c r="AGA35" s="102"/>
      <c r="AGB35" s="102"/>
      <c r="AGC35" s="102"/>
      <c r="AGD35" s="102"/>
      <c r="AGE35" s="102"/>
      <c r="AGF35" s="102"/>
      <c r="AGG35" s="102"/>
      <c r="AGH35" s="102"/>
      <c r="AGI35" s="102"/>
      <c r="AGJ35" s="102"/>
      <c r="AGK35" s="102"/>
      <c r="AGL35" s="102"/>
      <c r="AGM35" s="102"/>
      <c r="AGN35" s="102"/>
      <c r="AGO35" s="102"/>
      <c r="AGP35" s="102"/>
      <c r="AGQ35" s="102"/>
      <c r="AGR35" s="102"/>
      <c r="AGS35" s="102"/>
      <c r="AGT35" s="102"/>
      <c r="AGU35" s="102"/>
      <c r="AGV35" s="102"/>
      <c r="AGW35" s="102"/>
      <c r="AGX35" s="102"/>
      <c r="AGY35" s="102"/>
      <c r="AGZ35" s="102"/>
      <c r="AHA35" s="102"/>
      <c r="AHB35" s="102"/>
      <c r="AHC35" s="102"/>
      <c r="AHD35" s="102"/>
      <c r="AHE35" s="102"/>
      <c r="AHF35" s="102"/>
      <c r="AHG35" s="102"/>
      <c r="AHH35" s="102"/>
      <c r="AHI35" s="102"/>
      <c r="AHJ35" s="102"/>
      <c r="AHK35" s="102"/>
      <c r="AHL35" s="102"/>
      <c r="AHM35" s="102"/>
      <c r="AHN35" s="102"/>
      <c r="AHO35" s="102"/>
      <c r="AHP35" s="102"/>
      <c r="AHQ35" s="102"/>
      <c r="AHR35" s="102"/>
      <c r="AHS35" s="102"/>
      <c r="AHT35" s="102"/>
      <c r="AHU35" s="102"/>
      <c r="AHV35" s="102"/>
      <c r="AHW35" s="102"/>
      <c r="AHX35" s="102"/>
      <c r="AHY35" s="102"/>
      <c r="AHZ35" s="102"/>
      <c r="AIA35" s="102"/>
      <c r="AIB35" s="102"/>
      <c r="AIC35" s="102"/>
      <c r="AID35" s="102"/>
      <c r="AIE35" s="102"/>
      <c r="AIF35" s="102"/>
      <c r="AIG35" s="102"/>
      <c r="AIH35" s="102"/>
      <c r="AII35" s="102"/>
      <c r="AIJ35" s="102"/>
      <c r="AIK35" s="102"/>
      <c r="AIL35" s="102"/>
      <c r="AIM35" s="102"/>
      <c r="AIN35" s="102"/>
      <c r="AIO35" s="102"/>
      <c r="AIP35" s="102"/>
      <c r="AIQ35" s="102"/>
      <c r="AIR35" s="102"/>
      <c r="AIS35" s="102"/>
      <c r="AIT35" s="102"/>
      <c r="AIU35" s="102"/>
      <c r="AIV35" s="102"/>
      <c r="AIW35" s="102"/>
      <c r="AIX35" s="102"/>
      <c r="AIY35" s="102"/>
      <c r="AIZ35" s="102"/>
      <c r="AJA35" s="102"/>
      <c r="AJB35" s="102"/>
      <c r="AJC35" s="102"/>
      <c r="AJD35" s="102"/>
      <c r="AJE35" s="102"/>
      <c r="AJF35" s="102"/>
      <c r="AJG35" s="102"/>
      <c r="AJH35" s="102"/>
      <c r="AJI35" s="102"/>
      <c r="AJJ35" s="102"/>
      <c r="AJK35" s="102"/>
      <c r="AJL35" s="102"/>
      <c r="AJM35" s="102"/>
      <c r="AJN35" s="102"/>
      <c r="AJO35" s="102"/>
      <c r="AJP35" s="102"/>
      <c r="AJQ35" s="102"/>
      <c r="AJR35" s="102"/>
      <c r="AJS35" s="102"/>
      <c r="AJT35" s="102"/>
      <c r="AJU35" s="102"/>
      <c r="AJV35" s="102"/>
      <c r="AJW35" s="102"/>
      <c r="AJX35" s="102"/>
      <c r="AJY35" s="102"/>
      <c r="AJZ35" s="102"/>
      <c r="AKA35" s="102"/>
      <c r="AKB35" s="102"/>
      <c r="AKC35" s="102"/>
      <c r="AKD35" s="102"/>
      <c r="AKE35" s="102"/>
      <c r="AKF35" s="102"/>
      <c r="AKG35" s="102"/>
      <c r="AKH35" s="102"/>
      <c r="AKI35" s="102"/>
      <c r="AKJ35" s="102"/>
      <c r="AKK35" s="102"/>
      <c r="AKL35" s="102"/>
      <c r="AKM35" s="102"/>
      <c r="AKN35" s="102"/>
      <c r="AKO35" s="102"/>
      <c r="AKP35" s="102"/>
      <c r="AKQ35" s="102"/>
      <c r="AKR35" s="102"/>
      <c r="AKS35" s="102"/>
      <c r="AKT35" s="102"/>
      <c r="AKU35" s="102"/>
      <c r="AKV35" s="102"/>
      <c r="AKW35" s="102"/>
      <c r="AKX35" s="102"/>
      <c r="AKY35" s="102"/>
      <c r="AKZ35" s="102"/>
      <c r="ALA35" s="102"/>
      <c r="ALB35" s="102"/>
      <c r="ALC35" s="102"/>
      <c r="ALD35" s="102"/>
      <c r="ALE35" s="102"/>
      <c r="ALF35" s="102"/>
      <c r="ALG35" s="102"/>
      <c r="ALH35" s="102"/>
      <c r="ALI35" s="102"/>
      <c r="ALJ35" s="102"/>
      <c r="ALK35" s="102"/>
      <c r="ALL35" s="102"/>
      <c r="ALM35" s="102"/>
      <c r="ALN35" s="102"/>
      <c r="ALO35" s="102"/>
      <c r="ALP35" s="102"/>
      <c r="ALQ35" s="102"/>
      <c r="ALR35" s="102"/>
      <c r="ALS35" s="102"/>
      <c r="ALT35" s="102"/>
      <c r="ALU35" s="102"/>
      <c r="ALV35" s="102"/>
      <c r="ALW35" s="102"/>
      <c r="ALX35" s="102"/>
      <c r="ALY35" s="102"/>
      <c r="ALZ35" s="102"/>
      <c r="AMA35" s="102"/>
      <c r="AMB35" s="102"/>
      <c r="AMC35" s="102"/>
      <c r="AMD35" s="102"/>
      <c r="AME35" s="102"/>
      <c r="AMF35" s="102"/>
      <c r="AMG35" s="102"/>
      <c r="AMH35" s="102"/>
      <c r="AMI35" s="102"/>
      <c r="AMJ35" s="102"/>
      <c r="AMK35" s="102"/>
      <c r="AML35" s="102"/>
      <c r="AMM35" s="102"/>
      <c r="AMN35" s="102"/>
      <c r="AMO35" s="102"/>
      <c r="AMP35" s="102"/>
      <c r="AMQ35" s="102"/>
      <c r="AMR35" s="102"/>
      <c r="AMS35" s="102"/>
      <c r="AMT35" s="102"/>
      <c r="AMU35" s="102"/>
      <c r="AMV35" s="102"/>
      <c r="AMW35" s="102"/>
      <c r="AMX35" s="102"/>
      <c r="AMY35" s="102"/>
      <c r="AMZ35" s="102"/>
      <c r="ANA35" s="102"/>
      <c r="ANB35" s="102"/>
      <c r="ANC35" s="102"/>
      <c r="AND35" s="102"/>
      <c r="ANE35" s="102"/>
      <c r="ANF35" s="102"/>
      <c r="ANG35" s="102"/>
      <c r="ANH35" s="102"/>
      <c r="ANI35" s="102"/>
      <c r="ANJ35" s="102"/>
      <c r="ANK35" s="102"/>
      <c r="ANL35" s="102"/>
      <c r="ANM35" s="102"/>
      <c r="ANN35" s="102"/>
      <c r="ANO35" s="102"/>
      <c r="ANP35" s="102"/>
      <c r="ANQ35" s="102"/>
      <c r="ANR35" s="102"/>
      <c r="ANS35" s="102"/>
      <c r="ANT35" s="102"/>
      <c r="ANU35" s="102"/>
      <c r="ANV35" s="102"/>
      <c r="ANW35" s="102"/>
      <c r="ANX35" s="102"/>
      <c r="ANY35" s="102"/>
      <c r="ANZ35" s="102"/>
      <c r="AOA35" s="102"/>
      <c r="AOB35" s="102"/>
      <c r="AOC35" s="102"/>
      <c r="AOD35" s="102"/>
      <c r="AOE35" s="102"/>
      <c r="AOF35" s="102"/>
      <c r="AOG35" s="102"/>
      <c r="AOH35" s="102"/>
      <c r="AOI35" s="102"/>
      <c r="AOJ35" s="102"/>
      <c r="AOK35" s="102"/>
      <c r="AOL35" s="102"/>
      <c r="AOM35" s="102"/>
      <c r="AON35" s="102"/>
      <c r="AOO35" s="102"/>
      <c r="AOP35" s="102"/>
      <c r="AOQ35" s="102"/>
      <c r="AOR35" s="102"/>
      <c r="AOS35" s="102"/>
      <c r="AOT35" s="102"/>
      <c r="AOU35" s="102"/>
      <c r="AOV35" s="102"/>
      <c r="AOW35" s="102"/>
      <c r="AOX35" s="102"/>
      <c r="AOY35" s="102"/>
      <c r="AOZ35" s="102"/>
      <c r="APA35" s="102"/>
      <c r="APB35" s="102"/>
      <c r="APC35" s="102"/>
      <c r="APD35" s="102"/>
      <c r="APE35" s="102"/>
      <c r="APF35" s="102"/>
      <c r="APG35" s="102"/>
      <c r="APH35" s="102"/>
      <c r="API35" s="102"/>
      <c r="APJ35" s="102"/>
      <c r="APK35" s="102"/>
      <c r="APL35" s="102"/>
      <c r="APM35" s="102"/>
      <c r="APN35" s="102"/>
      <c r="APO35" s="102"/>
      <c r="APP35" s="102"/>
      <c r="APQ35" s="102"/>
      <c r="APR35" s="102"/>
      <c r="APS35" s="102"/>
      <c r="APT35" s="102"/>
      <c r="APU35" s="102"/>
      <c r="APV35" s="102"/>
      <c r="APW35" s="102"/>
      <c r="APX35" s="102"/>
      <c r="APY35" s="102"/>
      <c r="APZ35" s="102"/>
      <c r="AQA35" s="102"/>
      <c r="AQB35" s="102"/>
      <c r="AQC35" s="102"/>
      <c r="AQD35" s="102"/>
      <c r="AQE35" s="102"/>
      <c r="AQF35" s="102"/>
      <c r="AQG35" s="102"/>
      <c r="AQH35" s="102"/>
      <c r="AQI35" s="102"/>
      <c r="AQJ35" s="102"/>
      <c r="AQK35" s="102"/>
      <c r="AQL35" s="102"/>
      <c r="AQM35" s="102"/>
      <c r="AQN35" s="102"/>
      <c r="AQO35" s="102"/>
      <c r="AQP35" s="102"/>
      <c r="AQQ35" s="102"/>
      <c r="AQR35" s="102"/>
      <c r="AQS35" s="102"/>
      <c r="AQT35" s="102"/>
      <c r="AQU35" s="102"/>
      <c r="AQV35" s="102"/>
      <c r="AQW35" s="102"/>
      <c r="AQX35" s="102"/>
      <c r="AQY35" s="102"/>
      <c r="AQZ35" s="102"/>
      <c r="ARA35" s="102"/>
      <c r="ARB35" s="102"/>
      <c r="ARC35" s="102"/>
      <c r="ARD35" s="102"/>
      <c r="ARE35" s="102"/>
      <c r="ARF35" s="102"/>
      <c r="ARG35" s="102"/>
      <c r="ARH35" s="102"/>
      <c r="ARI35" s="102"/>
      <c r="ARJ35" s="102"/>
      <c r="ARK35" s="102"/>
      <c r="ARL35" s="102"/>
      <c r="ARM35" s="102"/>
      <c r="ARN35" s="102"/>
      <c r="ARO35" s="102"/>
      <c r="ARP35" s="102"/>
      <c r="ARQ35" s="102"/>
      <c r="ARR35" s="102"/>
      <c r="ARS35" s="102"/>
      <c r="ART35" s="102"/>
      <c r="ARU35" s="102"/>
      <c r="ARV35" s="102"/>
      <c r="ARW35" s="102"/>
      <c r="ARX35" s="102"/>
      <c r="ARY35" s="102"/>
      <c r="ARZ35" s="102"/>
      <c r="ASA35" s="102"/>
      <c r="ASB35" s="102"/>
      <c r="ASC35" s="102"/>
      <c r="ASD35" s="102"/>
      <c r="ASE35" s="102"/>
      <c r="ASF35" s="102"/>
      <c r="ASG35" s="102"/>
      <c r="ASH35" s="102"/>
      <c r="ASI35" s="102"/>
      <c r="ASJ35" s="102"/>
      <c r="ASK35" s="102"/>
      <c r="ASL35" s="102"/>
      <c r="ASM35" s="102"/>
      <c r="ASN35" s="102"/>
      <c r="ASO35" s="102"/>
      <c r="ASP35" s="102"/>
      <c r="ASQ35" s="102"/>
      <c r="ASR35" s="102"/>
      <c r="ASS35" s="102"/>
      <c r="AST35" s="102"/>
      <c r="ASU35" s="102"/>
      <c r="ASV35" s="102"/>
      <c r="ASW35" s="102"/>
      <c r="ASX35" s="102"/>
      <c r="ASY35" s="102"/>
      <c r="ASZ35" s="102"/>
      <c r="ATA35" s="102"/>
      <c r="ATB35" s="102"/>
      <c r="ATC35" s="102"/>
      <c r="ATD35" s="102"/>
      <c r="ATE35" s="102"/>
      <c r="ATF35" s="102"/>
      <c r="ATG35" s="102"/>
      <c r="ATH35" s="102"/>
      <c r="ATI35" s="102"/>
      <c r="ATJ35" s="102"/>
      <c r="ATK35" s="102"/>
      <c r="ATL35" s="102"/>
      <c r="ATM35" s="102"/>
      <c r="ATN35" s="102"/>
      <c r="ATO35" s="102"/>
      <c r="ATP35" s="102"/>
      <c r="ATQ35" s="102"/>
      <c r="ATR35" s="102"/>
      <c r="ATS35" s="102"/>
      <c r="ATT35" s="102"/>
      <c r="ATU35" s="102"/>
      <c r="ATV35" s="102"/>
      <c r="ATW35" s="102"/>
      <c r="ATX35" s="102"/>
      <c r="ATY35" s="102"/>
      <c r="ATZ35" s="102"/>
      <c r="AUA35" s="102"/>
      <c r="AUB35" s="102"/>
      <c r="AUC35" s="102"/>
      <c r="AUD35" s="102"/>
      <c r="AUE35" s="102"/>
      <c r="AUF35" s="102"/>
      <c r="AUG35" s="102"/>
      <c r="AUH35" s="102"/>
      <c r="AUI35" s="102"/>
      <c r="AUJ35" s="102"/>
      <c r="AUK35" s="102"/>
      <c r="AUL35" s="102"/>
      <c r="AUM35" s="102"/>
      <c r="AUN35" s="102"/>
      <c r="AUO35" s="102"/>
      <c r="AUP35" s="102"/>
      <c r="AUQ35" s="102"/>
      <c r="AUR35" s="102"/>
      <c r="AUS35" s="102"/>
      <c r="AUT35" s="102"/>
      <c r="AUU35" s="102"/>
      <c r="AUV35" s="102"/>
      <c r="AUW35" s="102"/>
      <c r="AUX35" s="102"/>
      <c r="AUY35" s="102"/>
      <c r="AUZ35" s="102"/>
      <c r="AVA35" s="102"/>
      <c r="AVB35" s="102"/>
      <c r="AVC35" s="102"/>
      <c r="AVD35" s="102"/>
      <c r="AVE35" s="102"/>
      <c r="AVF35" s="102"/>
      <c r="AVG35" s="102"/>
      <c r="AVH35" s="102"/>
      <c r="AVI35" s="102"/>
      <c r="AVJ35" s="102"/>
      <c r="AVK35" s="102"/>
      <c r="AVL35" s="102"/>
      <c r="AVM35" s="102"/>
      <c r="AVN35" s="102"/>
      <c r="AVO35" s="102"/>
      <c r="AVP35" s="102"/>
      <c r="AVQ35" s="102"/>
      <c r="AVR35" s="102"/>
      <c r="AVS35" s="102"/>
      <c r="AVT35" s="102"/>
      <c r="AVU35" s="102"/>
      <c r="AVV35" s="102"/>
      <c r="AVW35" s="102"/>
      <c r="AVX35" s="102"/>
      <c r="AVY35" s="102"/>
      <c r="AVZ35" s="102"/>
      <c r="AWA35" s="102"/>
      <c r="AWB35" s="102"/>
      <c r="AWC35" s="102"/>
      <c r="AWD35" s="102"/>
      <c r="AWE35" s="102"/>
      <c r="AWF35" s="102"/>
      <c r="AWG35" s="102"/>
      <c r="AWH35" s="102"/>
      <c r="AWI35" s="102"/>
      <c r="AWJ35" s="102"/>
      <c r="AWK35" s="102"/>
      <c r="AWL35" s="102"/>
      <c r="AWM35" s="102"/>
      <c r="AWN35" s="102"/>
      <c r="AWO35" s="102"/>
      <c r="AWP35" s="102"/>
      <c r="AWQ35" s="102"/>
      <c r="AWR35" s="102"/>
      <c r="AWS35" s="102"/>
      <c r="AWT35" s="102"/>
      <c r="AWU35" s="102"/>
      <c r="AWV35" s="102"/>
      <c r="AWW35" s="102"/>
      <c r="AWX35" s="102"/>
      <c r="AWY35" s="102"/>
      <c r="AWZ35" s="102"/>
      <c r="AXA35" s="102"/>
      <c r="AXB35" s="102"/>
      <c r="AXC35" s="102"/>
      <c r="AXD35" s="102"/>
      <c r="AXE35" s="102"/>
      <c r="AXF35" s="102"/>
      <c r="AXG35" s="102"/>
      <c r="AXH35" s="102"/>
      <c r="AXI35" s="102"/>
      <c r="AXJ35" s="102"/>
      <c r="AXK35" s="102"/>
      <c r="AXL35" s="102"/>
      <c r="AXM35" s="102"/>
      <c r="AXN35" s="102"/>
      <c r="AXO35" s="102"/>
      <c r="AXP35" s="102"/>
      <c r="AXQ35" s="102"/>
      <c r="AXR35" s="102"/>
      <c r="AXS35" s="102"/>
      <c r="AXT35" s="102"/>
      <c r="AXU35" s="102"/>
      <c r="AXV35" s="102"/>
      <c r="AXW35" s="102"/>
      <c r="AXX35" s="102"/>
      <c r="AXY35" s="102"/>
      <c r="AXZ35" s="102"/>
      <c r="AYA35" s="102"/>
      <c r="AYB35" s="102"/>
      <c r="AYC35" s="102"/>
      <c r="AYD35" s="102"/>
      <c r="AYE35" s="102"/>
      <c r="AYF35" s="102"/>
      <c r="AYG35" s="102"/>
      <c r="AYH35" s="102"/>
      <c r="AYI35" s="102"/>
      <c r="AYJ35" s="102"/>
      <c r="AYK35" s="102"/>
      <c r="AYL35" s="102"/>
      <c r="AYM35" s="102"/>
      <c r="AYN35" s="102"/>
      <c r="AYO35" s="102"/>
      <c r="AYP35" s="102"/>
      <c r="AYQ35" s="102"/>
      <c r="AYR35" s="102"/>
      <c r="AYS35" s="102"/>
      <c r="AYT35" s="102"/>
      <c r="AYU35" s="102"/>
      <c r="AYV35" s="102"/>
      <c r="AYW35" s="102"/>
      <c r="AYX35" s="102"/>
      <c r="AYY35" s="102"/>
      <c r="AYZ35" s="102"/>
      <c r="AZA35" s="102"/>
      <c r="AZB35" s="102"/>
      <c r="AZC35" s="102"/>
      <c r="AZD35" s="102"/>
      <c r="AZE35" s="102"/>
      <c r="AZF35" s="102"/>
      <c r="AZG35" s="102"/>
      <c r="AZH35" s="102"/>
      <c r="AZI35" s="102"/>
      <c r="AZJ35" s="102"/>
      <c r="AZK35" s="102"/>
      <c r="AZL35" s="102"/>
      <c r="AZM35" s="102"/>
      <c r="AZN35" s="102"/>
      <c r="AZO35" s="102"/>
      <c r="AZP35" s="102"/>
      <c r="AZQ35" s="102"/>
      <c r="AZR35" s="102"/>
      <c r="AZS35" s="102"/>
      <c r="AZT35" s="102"/>
      <c r="AZU35" s="102"/>
      <c r="AZV35" s="102"/>
      <c r="AZW35" s="102"/>
      <c r="AZX35" s="102"/>
      <c r="AZY35" s="102"/>
      <c r="AZZ35" s="102"/>
      <c r="BAA35" s="102"/>
      <c r="BAB35" s="102"/>
      <c r="BAC35" s="102"/>
      <c r="BAD35" s="102"/>
      <c r="BAE35" s="102"/>
      <c r="BAF35" s="102"/>
      <c r="BAG35" s="102"/>
      <c r="BAH35" s="102"/>
      <c r="BAI35" s="102"/>
      <c r="BAJ35" s="102"/>
      <c r="BAK35" s="102"/>
      <c r="BAL35" s="102"/>
      <c r="BAM35" s="102"/>
      <c r="BAN35" s="102"/>
      <c r="BAO35" s="102"/>
      <c r="BAP35" s="102"/>
      <c r="BAQ35" s="102"/>
      <c r="BAR35" s="102"/>
      <c r="BAS35" s="102"/>
      <c r="BAT35" s="102"/>
      <c r="BAU35" s="102"/>
      <c r="BAV35" s="102"/>
      <c r="BAW35" s="102"/>
      <c r="BAX35" s="102"/>
      <c r="BAY35" s="102"/>
      <c r="BAZ35" s="102"/>
      <c r="BBA35" s="102"/>
      <c r="BBB35" s="102"/>
      <c r="BBC35" s="102"/>
      <c r="BBD35" s="102"/>
      <c r="BBE35" s="102"/>
      <c r="BBF35" s="102"/>
      <c r="BBG35" s="102"/>
      <c r="BBH35" s="102"/>
      <c r="BBI35" s="102"/>
      <c r="BBJ35" s="102"/>
      <c r="BBK35" s="102"/>
      <c r="BBL35" s="102"/>
      <c r="BBM35" s="102"/>
      <c r="BBN35" s="102"/>
      <c r="BBO35" s="102"/>
      <c r="BBP35" s="102"/>
      <c r="BBQ35" s="102"/>
      <c r="BBR35" s="102"/>
      <c r="BBS35" s="102"/>
      <c r="BBT35" s="102"/>
      <c r="BBU35" s="102"/>
      <c r="BBV35" s="102"/>
      <c r="BBW35" s="102"/>
      <c r="BBX35" s="102"/>
      <c r="BBY35" s="102"/>
      <c r="BBZ35" s="102"/>
      <c r="BCA35" s="102"/>
      <c r="BCB35" s="102"/>
      <c r="BCC35" s="102"/>
      <c r="BCD35" s="102"/>
      <c r="BCE35" s="102"/>
      <c r="BCF35" s="102"/>
      <c r="BCG35" s="102"/>
      <c r="BCH35" s="102"/>
      <c r="BCI35" s="102"/>
      <c r="BCJ35" s="102"/>
      <c r="BCK35" s="102"/>
      <c r="BCL35" s="102"/>
      <c r="BCM35" s="102"/>
      <c r="BCN35" s="102"/>
      <c r="BCO35" s="102"/>
      <c r="BCP35" s="102"/>
      <c r="BCQ35" s="102"/>
      <c r="BCR35" s="102"/>
      <c r="BCS35" s="102"/>
      <c r="BCT35" s="102"/>
      <c r="BCU35" s="102"/>
      <c r="BCV35" s="102"/>
      <c r="BCW35" s="102"/>
      <c r="BCX35" s="102"/>
      <c r="BCY35" s="102"/>
      <c r="BCZ35" s="102"/>
      <c r="BDA35" s="102"/>
      <c r="BDB35" s="102"/>
      <c r="BDC35" s="102"/>
      <c r="BDD35" s="102"/>
      <c r="BDE35" s="102"/>
      <c r="BDF35" s="102"/>
      <c r="BDG35" s="102"/>
      <c r="BDH35" s="102"/>
      <c r="BDI35" s="102"/>
      <c r="BDJ35" s="102"/>
      <c r="BDK35" s="102"/>
      <c r="BDL35" s="102"/>
      <c r="BDM35" s="102"/>
      <c r="BDN35" s="102"/>
      <c r="BDO35" s="102"/>
      <c r="BDP35" s="102"/>
      <c r="BDQ35" s="102"/>
      <c r="BDR35" s="102"/>
      <c r="BDS35" s="102"/>
      <c r="BDT35" s="102"/>
      <c r="BDU35" s="102"/>
      <c r="BDV35" s="102"/>
      <c r="BDW35" s="102"/>
      <c r="BDX35" s="102"/>
      <c r="BDY35" s="102"/>
      <c r="BDZ35" s="102"/>
      <c r="BEA35" s="102"/>
      <c r="BEB35" s="102"/>
      <c r="BEC35" s="102"/>
      <c r="BED35" s="102"/>
      <c r="BEE35" s="102"/>
      <c r="BEF35" s="102"/>
      <c r="BEG35" s="102"/>
      <c r="BEH35" s="102"/>
      <c r="BEI35" s="102"/>
      <c r="BEJ35" s="102"/>
      <c r="BEK35" s="102"/>
      <c r="BEL35" s="102"/>
      <c r="BEM35" s="102"/>
      <c r="BEN35" s="102"/>
      <c r="BEO35" s="102"/>
      <c r="BEP35" s="102"/>
      <c r="BEQ35" s="102"/>
      <c r="BER35" s="102"/>
      <c r="BES35" s="102"/>
      <c r="BET35" s="102"/>
      <c r="BEU35" s="102"/>
      <c r="BEV35" s="102"/>
      <c r="BEW35" s="102"/>
      <c r="BEX35" s="102"/>
      <c r="BEY35" s="102"/>
      <c r="BEZ35" s="102"/>
      <c r="BFA35" s="102"/>
      <c r="BFB35" s="102"/>
      <c r="BFC35" s="102"/>
      <c r="BFD35" s="102"/>
      <c r="BFE35" s="102"/>
      <c r="BFF35" s="102"/>
      <c r="BFG35" s="102"/>
      <c r="BFH35" s="102"/>
      <c r="BFI35" s="102"/>
      <c r="BFJ35" s="102"/>
      <c r="BFK35" s="102"/>
      <c r="BFL35" s="102"/>
      <c r="BFM35" s="102"/>
      <c r="BFN35" s="102"/>
      <c r="BFO35" s="102"/>
      <c r="BFP35" s="102"/>
      <c r="BFQ35" s="102"/>
      <c r="BFR35" s="102"/>
      <c r="BFS35" s="102"/>
      <c r="BFT35" s="102"/>
      <c r="BFU35" s="102"/>
      <c r="BFV35" s="102"/>
      <c r="BFW35" s="102"/>
      <c r="BFX35" s="102"/>
      <c r="BFY35" s="102"/>
      <c r="BFZ35" s="102"/>
      <c r="BGA35" s="102"/>
      <c r="BGB35" s="102"/>
      <c r="BGC35" s="102"/>
      <c r="BGD35" s="102"/>
      <c r="BGE35" s="102"/>
      <c r="BGF35" s="102"/>
      <c r="BGG35" s="102"/>
      <c r="BGH35" s="102"/>
      <c r="BGI35" s="102"/>
      <c r="BGJ35" s="102"/>
      <c r="BGK35" s="102"/>
      <c r="BGL35" s="102"/>
      <c r="BGM35" s="102"/>
      <c r="BGN35" s="102"/>
      <c r="BGO35" s="102"/>
      <c r="BGP35" s="102"/>
      <c r="BGQ35" s="102"/>
      <c r="BGR35" s="102"/>
      <c r="BGS35" s="102"/>
      <c r="BGT35" s="102"/>
      <c r="BGU35" s="102"/>
      <c r="BGV35" s="102"/>
      <c r="BGW35" s="102"/>
      <c r="BGX35" s="102"/>
      <c r="BGY35" s="102"/>
      <c r="BGZ35" s="102"/>
      <c r="BHA35" s="102"/>
      <c r="BHB35" s="102"/>
      <c r="BHC35" s="102"/>
      <c r="BHD35" s="102"/>
      <c r="BHE35" s="102"/>
      <c r="BHF35" s="102"/>
      <c r="BHG35" s="102"/>
      <c r="BHH35" s="102"/>
      <c r="BHI35" s="102"/>
      <c r="BHJ35" s="102"/>
      <c r="BHK35" s="102"/>
      <c r="BHL35" s="102"/>
      <c r="BHM35" s="102"/>
      <c r="BHN35" s="102"/>
      <c r="BHO35" s="102"/>
      <c r="BHP35" s="102"/>
      <c r="BHQ35" s="102"/>
      <c r="BHR35" s="102"/>
      <c r="BHS35" s="102"/>
      <c r="BHT35" s="102"/>
      <c r="BHU35" s="102"/>
      <c r="BHV35" s="102"/>
      <c r="BHW35" s="102"/>
      <c r="BHX35" s="102"/>
      <c r="BHY35" s="102"/>
      <c r="BHZ35" s="102"/>
      <c r="BIA35" s="102"/>
      <c r="BIB35" s="102"/>
      <c r="BIC35" s="102"/>
      <c r="BID35" s="102"/>
      <c r="BIE35" s="102"/>
      <c r="BIF35" s="102"/>
      <c r="BIG35" s="102"/>
      <c r="BIH35" s="102"/>
      <c r="BII35" s="102"/>
      <c r="BIJ35" s="102"/>
      <c r="BIK35" s="102"/>
      <c r="BIL35" s="102"/>
      <c r="BIM35" s="102"/>
      <c r="BIN35" s="102"/>
      <c r="BIO35" s="102"/>
      <c r="BIP35" s="102"/>
      <c r="BIQ35" s="102"/>
      <c r="BIR35" s="102"/>
      <c r="BIS35" s="102"/>
      <c r="BIT35" s="102"/>
      <c r="BIU35" s="102"/>
      <c r="BIV35" s="102"/>
      <c r="BIW35" s="102"/>
      <c r="BIX35" s="102"/>
      <c r="BIY35" s="102"/>
      <c r="BIZ35" s="102"/>
      <c r="BJA35" s="102"/>
      <c r="BJB35" s="102"/>
      <c r="BJC35" s="102"/>
      <c r="BJD35" s="102"/>
      <c r="BJE35" s="102"/>
      <c r="BJF35" s="102"/>
      <c r="BJG35" s="102"/>
      <c r="BJH35" s="102"/>
      <c r="BJI35" s="102"/>
      <c r="BJJ35" s="102"/>
      <c r="BJK35" s="102"/>
      <c r="BJL35" s="102"/>
      <c r="BJM35" s="102"/>
      <c r="BJN35" s="102"/>
      <c r="BJO35" s="102"/>
      <c r="BJP35" s="102"/>
      <c r="BJQ35" s="102"/>
      <c r="BJR35" s="102"/>
      <c r="BJS35" s="102"/>
      <c r="BJT35" s="102"/>
      <c r="BJU35" s="102"/>
      <c r="BJV35" s="102"/>
      <c r="BJW35" s="102"/>
      <c r="BJX35" s="102"/>
      <c r="BJY35" s="102"/>
      <c r="BJZ35" s="102"/>
      <c r="BKA35" s="102"/>
      <c r="BKB35" s="102"/>
      <c r="BKC35" s="102"/>
      <c r="BKD35" s="102"/>
      <c r="BKE35" s="102"/>
      <c r="BKF35" s="102"/>
      <c r="BKG35" s="102"/>
      <c r="BKH35" s="102"/>
      <c r="BKI35" s="102"/>
      <c r="BKJ35" s="102"/>
      <c r="BKK35" s="102"/>
      <c r="BKL35" s="102"/>
      <c r="BKM35" s="102"/>
      <c r="BKN35" s="102"/>
      <c r="BKO35" s="102"/>
      <c r="BKP35" s="102"/>
      <c r="BKQ35" s="102"/>
      <c r="BKR35" s="102"/>
      <c r="BKS35" s="102"/>
      <c r="BKT35" s="102"/>
      <c r="BKU35" s="102"/>
      <c r="BKV35" s="102"/>
      <c r="BKW35" s="102"/>
      <c r="BKX35" s="102"/>
      <c r="BKY35" s="102"/>
      <c r="BKZ35" s="102"/>
      <c r="BLA35" s="102"/>
      <c r="BLB35" s="102"/>
      <c r="BLC35" s="102"/>
      <c r="BLD35" s="102"/>
      <c r="BLE35" s="102"/>
      <c r="BLF35" s="102"/>
      <c r="BLG35" s="102"/>
      <c r="BLH35" s="102"/>
      <c r="BLI35" s="102"/>
      <c r="BLJ35" s="102"/>
      <c r="BLK35" s="102"/>
      <c r="BLL35" s="102"/>
      <c r="BLM35" s="102"/>
      <c r="BLN35" s="102"/>
      <c r="BLO35" s="102"/>
      <c r="BLP35" s="102"/>
      <c r="BLQ35" s="102"/>
      <c r="BLR35" s="102"/>
      <c r="BLS35" s="102"/>
      <c r="BLT35" s="102"/>
      <c r="BLU35" s="102"/>
      <c r="BLV35" s="102"/>
      <c r="BLW35" s="102"/>
      <c r="BLX35" s="102"/>
      <c r="BLY35" s="102"/>
      <c r="BLZ35" s="102"/>
      <c r="BMA35" s="102"/>
      <c r="BMB35" s="102"/>
      <c r="BMC35" s="102"/>
      <c r="BMD35" s="102"/>
      <c r="BME35" s="102"/>
      <c r="BMF35" s="102"/>
      <c r="BMG35" s="102"/>
      <c r="BMH35" s="102"/>
      <c r="BMI35" s="102"/>
      <c r="BMJ35" s="102"/>
      <c r="BMK35" s="102"/>
      <c r="BML35" s="102"/>
      <c r="BMM35" s="102"/>
      <c r="BMN35" s="102"/>
      <c r="BMO35" s="102"/>
      <c r="BMP35" s="102"/>
      <c r="BMQ35" s="102"/>
      <c r="BMR35" s="102"/>
      <c r="BMS35" s="102"/>
      <c r="BMT35" s="102"/>
      <c r="BMU35" s="102"/>
      <c r="BMV35" s="102"/>
      <c r="BMW35" s="102"/>
      <c r="BMX35" s="102"/>
      <c r="BMY35" s="102"/>
      <c r="BMZ35" s="102"/>
      <c r="BNA35" s="102"/>
      <c r="BNB35" s="102"/>
      <c r="BNC35" s="102"/>
      <c r="BND35" s="102"/>
      <c r="BNE35" s="102"/>
      <c r="BNF35" s="102"/>
      <c r="BNG35" s="102"/>
      <c r="BNH35" s="102"/>
      <c r="BNI35" s="102"/>
      <c r="BNJ35" s="102"/>
      <c r="BNK35" s="102"/>
      <c r="BNL35" s="102"/>
      <c r="BNM35" s="102"/>
      <c r="BNN35" s="102"/>
      <c r="BNO35" s="102"/>
      <c r="BNP35" s="102"/>
      <c r="BNQ35" s="102"/>
      <c r="BNR35" s="102"/>
      <c r="BNS35" s="102"/>
      <c r="BNT35" s="102"/>
      <c r="BNU35" s="102"/>
      <c r="BNV35" s="102"/>
      <c r="BNW35" s="102"/>
      <c r="BNX35" s="102"/>
      <c r="BNY35" s="102"/>
      <c r="BNZ35" s="102"/>
      <c r="BOA35" s="102"/>
      <c r="BOB35" s="102"/>
      <c r="BOC35" s="102"/>
      <c r="BOD35" s="102"/>
      <c r="BOE35" s="102"/>
      <c r="BOF35" s="102"/>
      <c r="BOG35" s="102"/>
      <c r="BOH35" s="102"/>
      <c r="BOI35" s="102"/>
      <c r="BOJ35" s="102"/>
      <c r="BOK35" s="102"/>
      <c r="BOL35" s="102"/>
      <c r="BOM35" s="102"/>
      <c r="BON35" s="102"/>
      <c r="BOO35" s="102"/>
      <c r="BOP35" s="102"/>
      <c r="BOQ35" s="102"/>
      <c r="BOR35" s="102"/>
      <c r="BOS35" s="102"/>
      <c r="BOT35" s="102"/>
      <c r="BOU35" s="102"/>
      <c r="BOV35" s="102"/>
      <c r="BOW35" s="102"/>
      <c r="BOX35" s="102"/>
      <c r="BOY35" s="102"/>
      <c r="BOZ35" s="102"/>
      <c r="BPA35" s="102"/>
      <c r="BPB35" s="102"/>
      <c r="BPC35" s="102"/>
      <c r="BPD35" s="102"/>
      <c r="BPE35" s="102"/>
      <c r="BPF35" s="102"/>
      <c r="BPG35" s="102"/>
      <c r="BPH35" s="102"/>
      <c r="BPI35" s="102"/>
      <c r="BPJ35" s="102"/>
      <c r="BPK35" s="102"/>
      <c r="BPL35" s="102"/>
      <c r="BPM35" s="102"/>
      <c r="BPN35" s="102"/>
      <c r="BPO35" s="102"/>
      <c r="BPP35" s="102"/>
      <c r="BPQ35" s="102"/>
      <c r="BPR35" s="102"/>
      <c r="BPS35" s="102"/>
      <c r="BPT35" s="102"/>
      <c r="BPU35" s="102"/>
      <c r="BPV35" s="102"/>
      <c r="BPW35" s="102"/>
      <c r="BPX35" s="102"/>
      <c r="BPY35" s="102"/>
      <c r="BPZ35" s="102"/>
      <c r="BQA35" s="102"/>
      <c r="BQB35" s="102"/>
      <c r="BQC35" s="102"/>
      <c r="BQD35" s="102"/>
      <c r="BQE35" s="102"/>
      <c r="BQF35" s="102"/>
      <c r="BQG35" s="102"/>
      <c r="BQH35" s="102"/>
      <c r="BQI35" s="102"/>
      <c r="BQJ35" s="102"/>
      <c r="BQK35" s="102"/>
      <c r="BQL35" s="102"/>
      <c r="BQM35" s="102"/>
      <c r="BQN35" s="102"/>
      <c r="BQO35" s="102"/>
      <c r="BQP35" s="102"/>
      <c r="BQQ35" s="102"/>
      <c r="BQR35" s="102"/>
      <c r="BQS35" s="102"/>
      <c r="BQT35" s="102"/>
      <c r="BQU35" s="102"/>
      <c r="BQV35" s="102"/>
      <c r="BQW35" s="102"/>
      <c r="BQX35" s="102"/>
      <c r="BQY35" s="102"/>
      <c r="BQZ35" s="102"/>
      <c r="BRA35" s="102"/>
      <c r="BRB35" s="102"/>
      <c r="BRC35" s="102"/>
      <c r="BRD35" s="102"/>
      <c r="BRE35" s="102"/>
      <c r="BRF35" s="102"/>
      <c r="BRG35" s="102"/>
      <c r="BRH35" s="102"/>
      <c r="BRI35" s="102"/>
      <c r="BRJ35" s="102"/>
      <c r="BRK35" s="102"/>
      <c r="BRL35" s="102"/>
      <c r="BRM35" s="102"/>
      <c r="BRN35" s="102"/>
      <c r="BRO35" s="102"/>
      <c r="BRP35" s="102"/>
      <c r="BRQ35" s="102"/>
      <c r="BRR35" s="102"/>
      <c r="BRS35" s="102"/>
      <c r="BRT35" s="102"/>
      <c r="BRU35" s="102"/>
      <c r="BRV35" s="102"/>
      <c r="BRW35" s="102"/>
      <c r="BRX35" s="102"/>
      <c r="BRY35" s="102"/>
      <c r="BRZ35" s="102"/>
      <c r="BSA35" s="102"/>
      <c r="BSB35" s="102"/>
      <c r="BSC35" s="102"/>
      <c r="BSD35" s="102"/>
      <c r="BSE35" s="102"/>
      <c r="BSF35" s="102"/>
      <c r="BSG35" s="102"/>
      <c r="BSH35" s="102"/>
      <c r="BSI35" s="102"/>
      <c r="BSJ35" s="102"/>
      <c r="BSK35" s="102"/>
      <c r="BSL35" s="102"/>
      <c r="BSM35" s="102"/>
      <c r="BSN35" s="102"/>
      <c r="BSO35" s="102"/>
      <c r="BSP35" s="102"/>
      <c r="BSQ35" s="102"/>
      <c r="BSR35" s="102"/>
      <c r="BSS35" s="102"/>
      <c r="BST35" s="102"/>
      <c r="BSU35" s="102"/>
      <c r="BSV35" s="102"/>
      <c r="BSW35" s="102"/>
      <c r="BSX35" s="102"/>
      <c r="BSY35" s="102"/>
      <c r="BSZ35" s="102"/>
      <c r="BTA35" s="102"/>
      <c r="BTB35" s="102"/>
      <c r="BTC35" s="102"/>
      <c r="BTD35" s="102"/>
      <c r="BTE35" s="102"/>
      <c r="BTF35" s="102"/>
      <c r="BTG35" s="102"/>
      <c r="BTH35" s="102"/>
      <c r="BTI35" s="102"/>
      <c r="BTJ35" s="102"/>
      <c r="BTK35" s="102"/>
      <c r="BTL35" s="102"/>
      <c r="BTM35" s="102"/>
      <c r="BTN35" s="102"/>
      <c r="BTO35" s="102"/>
      <c r="BTP35" s="102"/>
      <c r="BTQ35" s="102"/>
      <c r="BTR35" s="102"/>
      <c r="BTS35" s="102"/>
      <c r="BTT35" s="102"/>
      <c r="BTU35" s="102"/>
      <c r="BTV35" s="102"/>
      <c r="BTW35" s="102"/>
      <c r="BTX35" s="102"/>
      <c r="BTY35" s="102"/>
      <c r="BTZ35" s="102"/>
      <c r="BUA35" s="102"/>
      <c r="BUB35" s="102"/>
      <c r="BUC35" s="102"/>
      <c r="BUD35" s="102"/>
      <c r="BUE35" s="102"/>
      <c r="BUF35" s="102"/>
      <c r="BUG35" s="102"/>
      <c r="BUH35" s="102"/>
      <c r="BUI35" s="102"/>
      <c r="BUJ35" s="102"/>
      <c r="BUK35" s="102"/>
      <c r="BUL35" s="102"/>
      <c r="BUM35" s="102"/>
      <c r="BUN35" s="102"/>
      <c r="BUO35" s="102"/>
      <c r="BUP35" s="102"/>
      <c r="BUQ35" s="102"/>
      <c r="BUR35" s="102"/>
      <c r="BUS35" s="102"/>
      <c r="BUT35" s="102"/>
      <c r="BUU35" s="102"/>
      <c r="BUV35" s="102"/>
      <c r="BUW35" s="102"/>
      <c r="BUX35" s="102"/>
      <c r="BUY35" s="102"/>
      <c r="BUZ35" s="102"/>
      <c r="BVA35" s="102"/>
      <c r="BVB35" s="102"/>
      <c r="BVC35" s="102"/>
      <c r="BVD35" s="102"/>
      <c r="BVE35" s="102"/>
      <c r="BVF35" s="102"/>
      <c r="BVG35" s="102"/>
      <c r="BVH35" s="102"/>
      <c r="BVI35" s="102"/>
      <c r="BVJ35" s="102"/>
      <c r="BVK35" s="102"/>
      <c r="BVL35" s="102"/>
      <c r="BVM35" s="102"/>
      <c r="BVN35" s="102"/>
      <c r="BVO35" s="102"/>
      <c r="BVP35" s="102"/>
      <c r="BVQ35" s="102"/>
      <c r="BVR35" s="102"/>
      <c r="BVS35" s="102"/>
      <c r="BVT35" s="102"/>
      <c r="BVU35" s="102"/>
      <c r="BVV35" s="102"/>
      <c r="BVW35" s="102"/>
      <c r="BVX35" s="102"/>
      <c r="BVY35" s="102"/>
      <c r="BVZ35" s="102"/>
      <c r="BWA35" s="102"/>
      <c r="BWB35" s="102"/>
      <c r="BWC35" s="102"/>
      <c r="BWD35" s="102"/>
      <c r="BWE35" s="102"/>
      <c r="BWF35" s="102"/>
      <c r="BWG35" s="102"/>
      <c r="BWH35" s="102"/>
      <c r="BWI35" s="102"/>
      <c r="BWJ35" s="102"/>
      <c r="BWK35" s="102"/>
      <c r="BWL35" s="102"/>
      <c r="BWM35" s="102"/>
      <c r="BWN35" s="102"/>
      <c r="BWO35" s="102"/>
      <c r="BWP35" s="102"/>
      <c r="BWQ35" s="102"/>
      <c r="BWR35" s="102"/>
      <c r="BWS35" s="102"/>
      <c r="BWT35" s="102"/>
      <c r="BWU35" s="102"/>
      <c r="BWV35" s="102"/>
      <c r="BWW35" s="102"/>
      <c r="BWX35" s="102"/>
      <c r="BWY35" s="102"/>
      <c r="BWZ35" s="102"/>
      <c r="BXA35" s="102"/>
      <c r="BXB35" s="102"/>
      <c r="BXC35" s="102"/>
      <c r="BXD35" s="102"/>
      <c r="BXE35" s="102"/>
      <c r="BXF35" s="102"/>
      <c r="BXG35" s="102"/>
      <c r="BXH35" s="102"/>
      <c r="BXI35" s="102"/>
      <c r="BXJ35" s="102"/>
      <c r="BXK35" s="102"/>
      <c r="BXL35" s="102"/>
      <c r="BXM35" s="102"/>
      <c r="BXN35" s="102"/>
      <c r="BXO35" s="102"/>
      <c r="BXP35" s="102"/>
      <c r="BXQ35" s="102"/>
      <c r="BXR35" s="102"/>
      <c r="BXS35" s="102"/>
      <c r="BXT35" s="102"/>
      <c r="BXU35" s="102"/>
      <c r="BXV35" s="102"/>
      <c r="BXW35" s="102"/>
      <c r="BXX35" s="102"/>
      <c r="BXY35" s="102"/>
      <c r="BXZ35" s="102"/>
      <c r="BYA35" s="102"/>
      <c r="BYB35" s="102"/>
      <c r="BYC35" s="102"/>
      <c r="BYD35" s="102"/>
      <c r="BYE35" s="102"/>
      <c r="BYF35" s="102"/>
      <c r="BYG35" s="102"/>
      <c r="BYH35" s="102"/>
      <c r="BYI35" s="102"/>
      <c r="BYJ35" s="102"/>
      <c r="BYK35" s="102"/>
      <c r="BYL35" s="102"/>
      <c r="BYM35" s="102"/>
      <c r="BYN35" s="102"/>
      <c r="BYO35" s="102"/>
      <c r="BYP35" s="102"/>
      <c r="BYQ35" s="102"/>
      <c r="BYR35" s="102"/>
      <c r="BYS35" s="102"/>
      <c r="BYT35" s="102"/>
      <c r="BYU35" s="102"/>
      <c r="BYV35" s="102"/>
      <c r="BYW35" s="102"/>
      <c r="BYX35" s="102"/>
      <c r="BYY35" s="102"/>
      <c r="BYZ35" s="102"/>
      <c r="BZA35" s="102"/>
      <c r="BZB35" s="102"/>
      <c r="BZC35" s="102"/>
      <c r="BZD35" s="102"/>
      <c r="BZE35" s="102"/>
      <c r="BZF35" s="102"/>
      <c r="BZG35" s="102"/>
      <c r="BZH35" s="102"/>
      <c r="BZI35" s="102"/>
      <c r="BZJ35" s="102"/>
      <c r="BZK35" s="102"/>
      <c r="BZL35" s="102"/>
      <c r="BZM35" s="102"/>
      <c r="BZN35" s="102"/>
      <c r="BZO35" s="102"/>
      <c r="BZP35" s="102"/>
      <c r="BZQ35" s="102"/>
      <c r="BZR35" s="102"/>
      <c r="BZS35" s="102"/>
      <c r="BZT35" s="102"/>
      <c r="BZU35" s="102"/>
      <c r="BZV35" s="102"/>
      <c r="BZW35" s="102"/>
      <c r="BZX35" s="102"/>
      <c r="BZY35" s="102"/>
      <c r="BZZ35" s="102"/>
      <c r="CAA35" s="102"/>
      <c r="CAB35" s="102"/>
      <c r="CAC35" s="102"/>
      <c r="CAD35" s="102"/>
      <c r="CAE35" s="102"/>
      <c r="CAF35" s="102"/>
      <c r="CAG35" s="102"/>
      <c r="CAH35" s="102"/>
      <c r="CAI35" s="102"/>
      <c r="CAJ35" s="102"/>
      <c r="CAK35" s="102"/>
      <c r="CAL35" s="102"/>
      <c r="CAM35" s="102"/>
      <c r="CAN35" s="102"/>
      <c r="CAO35" s="102"/>
      <c r="CAP35" s="102"/>
      <c r="CAQ35" s="102"/>
      <c r="CAR35" s="102"/>
      <c r="CAS35" s="102"/>
      <c r="CAT35" s="102"/>
      <c r="CAU35" s="102"/>
      <c r="CAV35" s="102"/>
      <c r="CAW35" s="102"/>
      <c r="CAX35" s="102"/>
      <c r="CAY35" s="102"/>
      <c r="CAZ35" s="102"/>
      <c r="CBA35" s="102"/>
      <c r="CBB35" s="102"/>
      <c r="CBC35" s="102"/>
      <c r="CBD35" s="102"/>
      <c r="CBE35" s="102"/>
      <c r="CBF35" s="102"/>
      <c r="CBG35" s="102"/>
      <c r="CBH35" s="102"/>
      <c r="CBI35" s="102"/>
      <c r="CBJ35" s="102"/>
      <c r="CBK35" s="102"/>
      <c r="CBL35" s="102"/>
      <c r="CBM35" s="102"/>
      <c r="CBN35" s="102"/>
      <c r="CBO35" s="102"/>
      <c r="CBP35" s="102"/>
      <c r="CBQ35" s="102"/>
      <c r="CBR35" s="102"/>
      <c r="CBS35" s="102"/>
      <c r="CBT35" s="102"/>
      <c r="CBU35" s="102"/>
      <c r="CBV35" s="102"/>
      <c r="CBW35" s="102"/>
      <c r="CBX35" s="102"/>
      <c r="CBY35" s="102"/>
      <c r="CBZ35" s="102"/>
      <c r="CCA35" s="102"/>
      <c r="CCB35" s="102"/>
      <c r="CCC35" s="102"/>
      <c r="CCD35" s="102"/>
      <c r="CCE35" s="102"/>
      <c r="CCF35" s="102"/>
      <c r="CCG35" s="102"/>
      <c r="CCH35" s="102"/>
      <c r="CCI35" s="102"/>
      <c r="CCJ35" s="102"/>
      <c r="CCK35" s="102"/>
      <c r="CCL35" s="102"/>
      <c r="CCM35" s="102"/>
      <c r="CCN35" s="102"/>
      <c r="CCO35" s="102"/>
      <c r="CCP35" s="102"/>
      <c r="CCQ35" s="102"/>
      <c r="CCR35" s="102"/>
      <c r="CCS35" s="102"/>
      <c r="CCT35" s="102"/>
      <c r="CCU35" s="102"/>
      <c r="CCV35" s="102"/>
      <c r="CCW35" s="102"/>
      <c r="CCX35" s="102"/>
      <c r="CCY35" s="102"/>
      <c r="CCZ35" s="102"/>
      <c r="CDA35" s="102"/>
      <c r="CDB35" s="102"/>
      <c r="CDC35" s="102"/>
      <c r="CDD35" s="102"/>
      <c r="CDE35" s="102"/>
      <c r="CDF35" s="102"/>
      <c r="CDG35" s="102"/>
      <c r="CDH35" s="102"/>
      <c r="CDI35" s="102"/>
      <c r="CDJ35" s="102"/>
      <c r="CDK35" s="102"/>
      <c r="CDL35" s="102"/>
      <c r="CDM35" s="102"/>
      <c r="CDN35" s="102"/>
      <c r="CDO35" s="102"/>
      <c r="CDP35" s="102"/>
      <c r="CDQ35" s="102"/>
      <c r="CDR35" s="102"/>
      <c r="CDS35" s="102"/>
      <c r="CDT35" s="102"/>
      <c r="CDU35" s="102"/>
      <c r="CDV35" s="102"/>
      <c r="CDW35" s="102"/>
      <c r="CDX35" s="102"/>
      <c r="CDY35" s="102"/>
      <c r="CDZ35" s="102"/>
      <c r="CEA35" s="102"/>
      <c r="CEB35" s="102"/>
      <c r="CEC35" s="102"/>
      <c r="CED35" s="102"/>
      <c r="CEE35" s="102"/>
      <c r="CEF35" s="102"/>
      <c r="CEG35" s="102"/>
      <c r="CEH35" s="102"/>
      <c r="CEI35" s="102"/>
      <c r="CEJ35" s="102"/>
      <c r="CEK35" s="102"/>
      <c r="CEL35" s="102"/>
      <c r="CEM35" s="102"/>
      <c r="CEN35" s="102"/>
      <c r="CEO35" s="102"/>
      <c r="CEP35" s="102"/>
      <c r="CEQ35" s="102"/>
      <c r="CER35" s="102"/>
      <c r="CES35" s="102"/>
      <c r="CET35" s="102"/>
      <c r="CEU35" s="102"/>
      <c r="CEV35" s="102"/>
      <c r="CEW35" s="102"/>
      <c r="CEX35" s="102"/>
      <c r="CEY35" s="102"/>
      <c r="CEZ35" s="102"/>
      <c r="CFA35" s="102"/>
      <c r="CFB35" s="102"/>
      <c r="CFC35" s="102"/>
      <c r="CFD35" s="102"/>
      <c r="CFE35" s="102"/>
      <c r="CFF35" s="102"/>
      <c r="CFG35" s="102"/>
      <c r="CFH35" s="102"/>
      <c r="CFI35" s="102"/>
      <c r="CFJ35" s="102"/>
      <c r="CFK35" s="102"/>
      <c r="CFL35" s="102"/>
      <c r="CFM35" s="102"/>
      <c r="CFN35" s="102"/>
      <c r="CFO35" s="102"/>
      <c r="CFP35" s="102"/>
      <c r="CFQ35" s="102"/>
      <c r="CFR35" s="102"/>
      <c r="CFS35" s="102"/>
      <c r="CFT35" s="102"/>
      <c r="CFU35" s="102"/>
      <c r="CFV35" s="102"/>
      <c r="CFW35" s="102"/>
      <c r="CFX35" s="102"/>
      <c r="CFY35" s="102"/>
      <c r="CFZ35" s="102"/>
      <c r="CGA35" s="102"/>
      <c r="CGB35" s="102"/>
      <c r="CGC35" s="102"/>
      <c r="CGD35" s="102"/>
      <c r="CGE35" s="102"/>
      <c r="CGF35" s="102"/>
      <c r="CGG35" s="102"/>
      <c r="CGH35" s="102"/>
      <c r="CGI35" s="102"/>
      <c r="CGJ35" s="102"/>
      <c r="CGK35" s="102"/>
      <c r="CGL35" s="102"/>
      <c r="CGM35" s="102"/>
      <c r="CGN35" s="102"/>
      <c r="CGO35" s="102"/>
      <c r="CGP35" s="102"/>
      <c r="CGQ35" s="102"/>
      <c r="CGR35" s="102"/>
      <c r="CGS35" s="102"/>
      <c r="CGT35" s="102"/>
      <c r="CGU35" s="102"/>
      <c r="CGV35" s="102"/>
      <c r="CGW35" s="102"/>
      <c r="CGX35" s="102"/>
      <c r="CGY35" s="102"/>
      <c r="CGZ35" s="102"/>
      <c r="CHA35" s="102"/>
      <c r="CHB35" s="102"/>
      <c r="CHC35" s="102"/>
      <c r="CHD35" s="102"/>
      <c r="CHE35" s="102"/>
      <c r="CHF35" s="102"/>
      <c r="CHG35" s="102"/>
      <c r="CHH35" s="102"/>
      <c r="CHI35" s="102"/>
      <c r="CHJ35" s="102"/>
      <c r="CHK35" s="102"/>
      <c r="CHL35" s="102"/>
      <c r="CHM35" s="102"/>
      <c r="CHN35" s="102"/>
      <c r="CHO35" s="102"/>
      <c r="CHP35" s="102"/>
      <c r="CHQ35" s="102"/>
      <c r="CHR35" s="102"/>
      <c r="CHS35" s="102"/>
      <c r="CHT35" s="102"/>
      <c r="CHU35" s="102"/>
      <c r="CHV35" s="102"/>
      <c r="CHW35" s="102"/>
      <c r="CHX35" s="102"/>
      <c r="CHY35" s="102"/>
      <c r="CHZ35" s="102"/>
      <c r="CIA35" s="102"/>
      <c r="CIB35" s="102"/>
      <c r="CIC35" s="102"/>
      <c r="CID35" s="102"/>
      <c r="CIE35" s="102"/>
      <c r="CIF35" s="102"/>
      <c r="CIG35" s="102"/>
      <c r="CIH35" s="102"/>
      <c r="CII35" s="102"/>
      <c r="CIJ35" s="102"/>
      <c r="CIK35" s="102"/>
      <c r="CIL35" s="102"/>
      <c r="CIM35" s="102"/>
      <c r="CIN35" s="102"/>
      <c r="CIO35" s="102"/>
      <c r="CIP35" s="102"/>
      <c r="CIQ35" s="102"/>
      <c r="CIR35" s="102"/>
      <c r="CIS35" s="102"/>
      <c r="CIT35" s="102"/>
      <c r="CIU35" s="102"/>
      <c r="CIV35" s="102"/>
      <c r="CIW35" s="102"/>
      <c r="CIX35" s="102"/>
      <c r="CIY35" s="102"/>
      <c r="CIZ35" s="102"/>
      <c r="CJA35" s="102"/>
      <c r="CJB35" s="102"/>
      <c r="CJC35" s="102"/>
      <c r="CJD35" s="102"/>
      <c r="CJE35" s="102"/>
      <c r="CJF35" s="102"/>
      <c r="CJG35" s="102"/>
      <c r="CJH35" s="102"/>
      <c r="CJI35" s="102"/>
      <c r="CJJ35" s="102"/>
      <c r="CJK35" s="102"/>
      <c r="CJL35" s="102"/>
      <c r="CJM35" s="102"/>
      <c r="CJN35" s="102"/>
      <c r="CJO35" s="102"/>
      <c r="CJP35" s="102"/>
      <c r="CJQ35" s="102"/>
      <c r="CJR35" s="102"/>
      <c r="CJS35" s="102"/>
      <c r="CJT35" s="102"/>
      <c r="CJU35" s="102"/>
      <c r="CJV35" s="102"/>
      <c r="CJW35" s="102"/>
      <c r="CJX35" s="102"/>
      <c r="CJY35" s="102"/>
      <c r="CJZ35" s="102"/>
      <c r="CKA35" s="102"/>
      <c r="CKB35" s="102"/>
      <c r="CKC35" s="102"/>
      <c r="CKD35" s="102"/>
      <c r="CKE35" s="102"/>
      <c r="CKF35" s="102"/>
      <c r="CKG35" s="102"/>
      <c r="CKH35" s="102"/>
      <c r="CKI35" s="102"/>
      <c r="CKJ35" s="102"/>
      <c r="CKK35" s="102"/>
      <c r="CKL35" s="102"/>
      <c r="CKM35" s="102"/>
      <c r="CKN35" s="102"/>
      <c r="CKO35" s="102"/>
      <c r="CKP35" s="102"/>
      <c r="CKQ35" s="102"/>
      <c r="CKR35" s="102"/>
      <c r="CKS35" s="102"/>
      <c r="CKT35" s="102"/>
      <c r="CKU35" s="102"/>
      <c r="CKV35" s="102"/>
      <c r="CKW35" s="102"/>
      <c r="CKX35" s="102"/>
      <c r="CKY35" s="102"/>
      <c r="CKZ35" s="102"/>
      <c r="CLA35" s="102"/>
      <c r="CLB35" s="102"/>
      <c r="CLC35" s="102"/>
      <c r="CLD35" s="102"/>
      <c r="CLE35" s="102"/>
      <c r="CLF35" s="102"/>
      <c r="CLG35" s="102"/>
      <c r="CLH35" s="102"/>
      <c r="CLI35" s="102"/>
      <c r="CLJ35" s="102"/>
      <c r="CLK35" s="102"/>
      <c r="CLL35" s="102"/>
      <c r="CLM35" s="102"/>
      <c r="CLN35" s="102"/>
      <c r="CLO35" s="102"/>
      <c r="CLP35" s="102"/>
      <c r="CLQ35" s="102"/>
      <c r="CLR35" s="102"/>
      <c r="CLS35" s="102"/>
      <c r="CLT35" s="102"/>
      <c r="CLU35" s="102"/>
      <c r="CLV35" s="102"/>
      <c r="CLW35" s="102"/>
      <c r="CLX35" s="102"/>
      <c r="CLY35" s="102"/>
      <c r="CLZ35" s="102"/>
      <c r="CMA35" s="102"/>
      <c r="CMB35" s="102"/>
      <c r="CMC35" s="102"/>
      <c r="CMD35" s="102"/>
      <c r="CME35" s="102"/>
      <c r="CMF35" s="102"/>
      <c r="CMG35" s="102"/>
      <c r="CMH35" s="102"/>
      <c r="CMI35" s="102"/>
      <c r="CMJ35" s="102"/>
      <c r="CMK35" s="102"/>
      <c r="CML35" s="102"/>
      <c r="CMM35" s="102"/>
      <c r="CMN35" s="102"/>
      <c r="CMO35" s="102"/>
      <c r="CMP35" s="102"/>
      <c r="CMQ35" s="102"/>
      <c r="CMR35" s="102"/>
      <c r="CMS35" s="102"/>
      <c r="CMT35" s="102"/>
      <c r="CMU35" s="102"/>
      <c r="CMV35" s="102"/>
      <c r="CMW35" s="102"/>
      <c r="CMX35" s="102"/>
      <c r="CMY35" s="102"/>
      <c r="CMZ35" s="102"/>
      <c r="CNA35" s="102"/>
      <c r="CNB35" s="102"/>
      <c r="CNC35" s="102"/>
      <c r="CND35" s="102"/>
      <c r="CNE35" s="102"/>
      <c r="CNF35" s="102"/>
      <c r="CNG35" s="102"/>
      <c r="CNH35" s="102"/>
      <c r="CNI35" s="102"/>
      <c r="CNJ35" s="102"/>
      <c r="CNK35" s="102"/>
      <c r="CNL35" s="102"/>
      <c r="CNM35" s="102"/>
      <c r="CNN35" s="102"/>
      <c r="CNO35" s="102"/>
      <c r="CNP35" s="102"/>
      <c r="CNQ35" s="102"/>
      <c r="CNR35" s="102"/>
      <c r="CNS35" s="102"/>
      <c r="CNT35" s="102"/>
      <c r="CNU35" s="102"/>
      <c r="CNV35" s="102"/>
      <c r="CNW35" s="102"/>
      <c r="CNX35" s="102"/>
      <c r="CNY35" s="102"/>
      <c r="CNZ35" s="102"/>
      <c r="COA35" s="102"/>
      <c r="COB35" s="102"/>
      <c r="COC35" s="102"/>
      <c r="COD35" s="102"/>
      <c r="COE35" s="102"/>
      <c r="COF35" s="102"/>
      <c r="COG35" s="102"/>
      <c r="COH35" s="102"/>
      <c r="COI35" s="102"/>
      <c r="COJ35" s="102"/>
      <c r="COK35" s="102"/>
      <c r="COL35" s="102"/>
      <c r="COM35" s="102"/>
      <c r="CON35" s="102"/>
      <c r="COO35" s="102"/>
      <c r="COP35" s="102"/>
      <c r="COQ35" s="102"/>
      <c r="COR35" s="102"/>
      <c r="COS35" s="102"/>
      <c r="COT35" s="102"/>
      <c r="COU35" s="102"/>
      <c r="COV35" s="102"/>
      <c r="COW35" s="102"/>
      <c r="COX35" s="102"/>
      <c r="COY35" s="102"/>
      <c r="COZ35" s="102"/>
      <c r="CPA35" s="102"/>
      <c r="CPB35" s="102"/>
      <c r="CPC35" s="102"/>
      <c r="CPD35" s="102"/>
      <c r="CPE35" s="102"/>
      <c r="CPF35" s="102"/>
      <c r="CPG35" s="102"/>
      <c r="CPH35" s="102"/>
      <c r="CPI35" s="102"/>
      <c r="CPJ35" s="102"/>
      <c r="CPK35" s="102"/>
      <c r="CPL35" s="102"/>
      <c r="CPM35" s="102"/>
      <c r="CPN35" s="102"/>
      <c r="CPO35" s="102"/>
      <c r="CPP35" s="102"/>
      <c r="CPQ35" s="102"/>
      <c r="CPR35" s="102"/>
      <c r="CPS35" s="102"/>
      <c r="CPT35" s="102"/>
      <c r="CPU35" s="102"/>
      <c r="CPV35" s="102"/>
      <c r="CPW35" s="102"/>
      <c r="CPX35" s="102"/>
      <c r="CPY35" s="102"/>
      <c r="CPZ35" s="102"/>
      <c r="CQA35" s="102"/>
      <c r="CQB35" s="102"/>
      <c r="CQC35" s="102"/>
      <c r="CQD35" s="102"/>
      <c r="CQE35" s="102"/>
      <c r="CQF35" s="102"/>
      <c r="CQG35" s="102"/>
      <c r="CQH35" s="102"/>
      <c r="CQI35" s="102"/>
      <c r="CQJ35" s="102"/>
      <c r="CQK35" s="102"/>
      <c r="CQL35" s="102"/>
      <c r="CQM35" s="102"/>
      <c r="CQN35" s="102"/>
      <c r="CQO35" s="102"/>
      <c r="CQP35" s="102"/>
      <c r="CQQ35" s="102"/>
      <c r="CQR35" s="102"/>
      <c r="CQS35" s="102"/>
      <c r="CQT35" s="102"/>
      <c r="CQU35" s="102"/>
      <c r="CQV35" s="102"/>
      <c r="CQW35" s="102"/>
      <c r="CQX35" s="102"/>
      <c r="CQY35" s="102"/>
      <c r="CQZ35" s="102"/>
      <c r="CRA35" s="102"/>
      <c r="CRB35" s="102"/>
      <c r="CRC35" s="102"/>
      <c r="CRD35" s="102"/>
      <c r="CRE35" s="102"/>
      <c r="CRF35" s="102"/>
      <c r="CRG35" s="102"/>
      <c r="CRH35" s="102"/>
      <c r="CRI35" s="102"/>
      <c r="CRJ35" s="102"/>
      <c r="CRK35" s="102"/>
      <c r="CRL35" s="102"/>
      <c r="CRM35" s="102"/>
      <c r="CRN35" s="102"/>
      <c r="CRO35" s="102"/>
      <c r="CRP35" s="102"/>
      <c r="CRQ35" s="102"/>
      <c r="CRR35" s="102"/>
      <c r="CRS35" s="102"/>
      <c r="CRT35" s="102"/>
      <c r="CRU35" s="102"/>
      <c r="CRV35" s="102"/>
      <c r="CRW35" s="102"/>
      <c r="CRX35" s="102"/>
      <c r="CRY35" s="102"/>
      <c r="CRZ35" s="102"/>
      <c r="CSA35" s="102"/>
      <c r="CSB35" s="102"/>
      <c r="CSC35" s="102"/>
      <c r="CSD35" s="102"/>
      <c r="CSE35" s="102"/>
      <c r="CSF35" s="102"/>
      <c r="CSG35" s="102"/>
      <c r="CSH35" s="102"/>
      <c r="CSI35" s="102"/>
      <c r="CSJ35" s="102"/>
      <c r="CSK35" s="102"/>
      <c r="CSL35" s="102"/>
      <c r="CSM35" s="102"/>
      <c r="CSN35" s="102"/>
      <c r="CSO35" s="102"/>
      <c r="CSP35" s="102"/>
      <c r="CSQ35" s="102"/>
      <c r="CSR35" s="102"/>
      <c r="CSS35" s="102"/>
      <c r="CST35" s="102"/>
      <c r="CSU35" s="102"/>
      <c r="CSV35" s="102"/>
      <c r="CSW35" s="102"/>
      <c r="CSX35" s="102"/>
      <c r="CSY35" s="102"/>
      <c r="CSZ35" s="102"/>
      <c r="CTA35" s="102"/>
      <c r="CTB35" s="102"/>
      <c r="CTC35" s="102"/>
      <c r="CTD35" s="102"/>
      <c r="CTE35" s="102"/>
      <c r="CTF35" s="102"/>
      <c r="CTG35" s="102"/>
      <c r="CTH35" s="102"/>
      <c r="CTI35" s="102"/>
      <c r="CTJ35" s="102"/>
      <c r="CTK35" s="102"/>
      <c r="CTL35" s="102"/>
      <c r="CTM35" s="102"/>
      <c r="CTN35" s="102"/>
      <c r="CTO35" s="102"/>
      <c r="CTP35" s="102"/>
      <c r="CTQ35" s="102"/>
      <c r="CTR35" s="102"/>
      <c r="CTS35" s="102"/>
      <c r="CTT35" s="102"/>
      <c r="CTU35" s="102"/>
      <c r="CTV35" s="102"/>
      <c r="CTW35" s="102"/>
      <c r="CTX35" s="102"/>
      <c r="CTY35" s="102"/>
      <c r="CTZ35" s="102"/>
      <c r="CUA35" s="102"/>
      <c r="CUB35" s="102"/>
      <c r="CUC35" s="102"/>
      <c r="CUD35" s="102"/>
      <c r="CUE35" s="102"/>
      <c r="CUF35" s="102"/>
      <c r="CUG35" s="102"/>
      <c r="CUH35" s="102"/>
      <c r="CUI35" s="102"/>
      <c r="CUJ35" s="102"/>
      <c r="CUK35" s="102"/>
      <c r="CUL35" s="102"/>
      <c r="CUM35" s="102"/>
      <c r="CUN35" s="102"/>
      <c r="CUO35" s="102"/>
      <c r="CUP35" s="102"/>
      <c r="CUQ35" s="102"/>
      <c r="CUR35" s="102"/>
      <c r="CUS35" s="102"/>
      <c r="CUT35" s="102"/>
      <c r="CUU35" s="102"/>
      <c r="CUV35" s="102"/>
      <c r="CUW35" s="102"/>
      <c r="CUX35" s="102"/>
      <c r="CUY35" s="102"/>
      <c r="CUZ35" s="102"/>
      <c r="CVA35" s="102"/>
      <c r="CVB35" s="102"/>
      <c r="CVC35" s="102"/>
      <c r="CVD35" s="102"/>
      <c r="CVE35" s="102"/>
      <c r="CVF35" s="102"/>
      <c r="CVG35" s="102"/>
      <c r="CVH35" s="102"/>
      <c r="CVI35" s="102"/>
      <c r="CVJ35" s="102"/>
      <c r="CVK35" s="102"/>
      <c r="CVL35" s="102"/>
      <c r="CVM35" s="102"/>
      <c r="CVN35" s="102"/>
      <c r="CVO35" s="102"/>
      <c r="CVP35" s="102"/>
      <c r="CVQ35" s="102"/>
      <c r="CVR35" s="102"/>
      <c r="CVS35" s="102"/>
      <c r="CVT35" s="102"/>
      <c r="CVU35" s="102"/>
      <c r="CVV35" s="102"/>
      <c r="CVW35" s="102"/>
      <c r="CVX35" s="102"/>
      <c r="CVY35" s="102"/>
      <c r="CVZ35" s="102"/>
      <c r="CWA35" s="102"/>
      <c r="CWB35" s="102"/>
      <c r="CWC35" s="102"/>
      <c r="CWD35" s="102"/>
      <c r="CWE35" s="102"/>
      <c r="CWF35" s="102"/>
      <c r="CWG35" s="102"/>
      <c r="CWH35" s="102"/>
      <c r="CWI35" s="102"/>
      <c r="CWJ35" s="102"/>
      <c r="CWK35" s="102"/>
      <c r="CWL35" s="102"/>
      <c r="CWM35" s="102"/>
      <c r="CWN35" s="102"/>
      <c r="CWO35" s="102"/>
      <c r="CWP35" s="102"/>
      <c r="CWQ35" s="102"/>
      <c r="CWR35" s="102"/>
      <c r="CWS35" s="102"/>
      <c r="CWT35" s="102"/>
      <c r="CWU35" s="102"/>
      <c r="CWV35" s="102"/>
      <c r="CWW35" s="102"/>
      <c r="CWX35" s="102"/>
      <c r="CWY35" s="102"/>
      <c r="CWZ35" s="102"/>
      <c r="CXA35" s="102"/>
      <c r="CXB35" s="102"/>
      <c r="CXC35" s="102"/>
      <c r="CXD35" s="102"/>
      <c r="CXE35" s="102"/>
      <c r="CXF35" s="102"/>
      <c r="CXG35" s="102"/>
      <c r="CXH35" s="102"/>
      <c r="CXI35" s="102"/>
      <c r="CXJ35" s="102"/>
      <c r="CXK35" s="102"/>
      <c r="CXL35" s="102"/>
      <c r="CXM35" s="102"/>
      <c r="CXN35" s="102"/>
      <c r="CXO35" s="102"/>
      <c r="CXP35" s="102"/>
      <c r="CXQ35" s="102"/>
      <c r="CXR35" s="102"/>
      <c r="CXS35" s="102"/>
      <c r="CXT35" s="102"/>
      <c r="CXU35" s="102"/>
      <c r="CXV35" s="102"/>
      <c r="CXW35" s="102"/>
      <c r="CXX35" s="102"/>
      <c r="CXY35" s="102"/>
      <c r="CXZ35" s="102"/>
      <c r="CYA35" s="102"/>
      <c r="CYB35" s="102"/>
      <c r="CYC35" s="102"/>
      <c r="CYD35" s="102"/>
      <c r="CYE35" s="102"/>
      <c r="CYF35" s="102"/>
      <c r="CYG35" s="102"/>
      <c r="CYH35" s="102"/>
      <c r="CYI35" s="102"/>
      <c r="CYJ35" s="102"/>
      <c r="CYK35" s="102"/>
      <c r="CYL35" s="102"/>
      <c r="CYM35" s="102"/>
      <c r="CYN35" s="102"/>
      <c r="CYO35" s="102"/>
      <c r="CYP35" s="102"/>
      <c r="CYQ35" s="102"/>
      <c r="CYR35" s="102"/>
      <c r="CYS35" s="102"/>
      <c r="CYT35" s="102"/>
      <c r="CYU35" s="102"/>
      <c r="CYV35" s="102"/>
      <c r="CYW35" s="102"/>
      <c r="CYX35" s="102"/>
      <c r="CYY35" s="102"/>
      <c r="CYZ35" s="102"/>
      <c r="CZA35" s="102"/>
      <c r="CZB35" s="102"/>
      <c r="CZC35" s="102"/>
      <c r="CZD35" s="102"/>
      <c r="CZE35" s="102"/>
      <c r="CZF35" s="102"/>
      <c r="CZG35" s="102"/>
      <c r="CZH35" s="102"/>
      <c r="CZI35" s="102"/>
      <c r="CZJ35" s="102"/>
      <c r="CZK35" s="102"/>
      <c r="CZL35" s="102"/>
      <c r="CZM35" s="102"/>
      <c r="CZN35" s="102"/>
      <c r="CZO35" s="102"/>
      <c r="CZP35" s="102"/>
      <c r="CZQ35" s="102"/>
      <c r="CZR35" s="102"/>
      <c r="CZS35" s="102"/>
      <c r="CZT35" s="102"/>
      <c r="CZU35" s="102"/>
      <c r="CZV35" s="102"/>
      <c r="CZW35" s="102"/>
      <c r="CZX35" s="102"/>
      <c r="CZY35" s="102"/>
      <c r="CZZ35" s="102"/>
      <c r="DAA35" s="102"/>
      <c r="DAB35" s="102"/>
      <c r="DAC35" s="102"/>
      <c r="DAD35" s="102"/>
      <c r="DAE35" s="102"/>
      <c r="DAF35" s="102"/>
      <c r="DAG35" s="102"/>
      <c r="DAH35" s="102"/>
      <c r="DAI35" s="102"/>
      <c r="DAJ35" s="102"/>
      <c r="DAK35" s="102"/>
      <c r="DAL35" s="102"/>
      <c r="DAM35" s="102"/>
      <c r="DAN35" s="102"/>
      <c r="DAO35" s="102"/>
      <c r="DAP35" s="102"/>
      <c r="DAQ35" s="102"/>
      <c r="DAR35" s="102"/>
      <c r="DAS35" s="102"/>
      <c r="DAT35" s="102"/>
      <c r="DAU35" s="102"/>
      <c r="DAV35" s="102"/>
      <c r="DAW35" s="102"/>
      <c r="DAX35" s="102"/>
      <c r="DAY35" s="102"/>
      <c r="DAZ35" s="102"/>
      <c r="DBA35" s="102"/>
      <c r="DBB35" s="102"/>
      <c r="DBC35" s="102"/>
      <c r="DBD35" s="102"/>
      <c r="DBE35" s="102"/>
      <c r="DBF35" s="102"/>
      <c r="DBG35" s="102"/>
      <c r="DBH35" s="102"/>
      <c r="DBI35" s="102"/>
      <c r="DBJ35" s="102"/>
      <c r="DBK35" s="102"/>
      <c r="DBL35" s="102"/>
      <c r="DBM35" s="102"/>
      <c r="DBN35" s="102"/>
      <c r="DBO35" s="102"/>
      <c r="DBP35" s="102"/>
      <c r="DBQ35" s="102"/>
      <c r="DBR35" s="102"/>
      <c r="DBS35" s="102"/>
      <c r="DBT35" s="102"/>
      <c r="DBU35" s="102"/>
      <c r="DBV35" s="102"/>
      <c r="DBW35" s="102"/>
      <c r="DBX35" s="102"/>
      <c r="DBY35" s="102"/>
      <c r="DBZ35" s="102"/>
      <c r="DCA35" s="102"/>
      <c r="DCB35" s="102"/>
      <c r="DCC35" s="102"/>
      <c r="DCD35" s="102"/>
      <c r="DCE35" s="102"/>
      <c r="DCF35" s="102"/>
      <c r="DCG35" s="102"/>
      <c r="DCH35" s="102"/>
      <c r="DCI35" s="102"/>
      <c r="DCJ35" s="102"/>
      <c r="DCK35" s="102"/>
      <c r="DCL35" s="102"/>
      <c r="DCM35" s="102"/>
      <c r="DCN35" s="102"/>
      <c r="DCO35" s="102"/>
      <c r="DCP35" s="102"/>
      <c r="DCQ35" s="102"/>
      <c r="DCR35" s="102"/>
      <c r="DCS35" s="102"/>
      <c r="DCT35" s="102"/>
      <c r="DCU35" s="102"/>
      <c r="DCV35" s="102"/>
      <c r="DCW35" s="102"/>
      <c r="DCX35" s="102"/>
      <c r="DCY35" s="102"/>
      <c r="DCZ35" s="102"/>
      <c r="DDA35" s="102"/>
      <c r="DDB35" s="102"/>
      <c r="DDC35" s="102"/>
      <c r="DDD35" s="102"/>
      <c r="DDE35" s="102"/>
      <c r="DDF35" s="102"/>
      <c r="DDG35" s="102"/>
      <c r="DDH35" s="102"/>
      <c r="DDI35" s="102"/>
      <c r="DDJ35" s="102"/>
      <c r="DDK35" s="102"/>
      <c r="DDL35" s="102"/>
      <c r="DDM35" s="102"/>
      <c r="DDN35" s="102"/>
      <c r="DDO35" s="102"/>
      <c r="DDP35" s="102"/>
      <c r="DDQ35" s="102"/>
      <c r="DDR35" s="102"/>
      <c r="DDS35" s="102"/>
      <c r="DDT35" s="102"/>
      <c r="DDU35" s="102"/>
      <c r="DDV35" s="102"/>
      <c r="DDW35" s="102"/>
      <c r="DDX35" s="102"/>
      <c r="DDY35" s="102"/>
      <c r="DDZ35" s="102"/>
      <c r="DEA35" s="102"/>
      <c r="DEB35" s="102"/>
      <c r="DEC35" s="102"/>
      <c r="DED35" s="102"/>
      <c r="DEE35" s="102"/>
      <c r="DEF35" s="102"/>
      <c r="DEG35" s="102"/>
      <c r="DEH35" s="102"/>
      <c r="DEI35" s="102"/>
      <c r="DEJ35" s="102"/>
      <c r="DEK35" s="102"/>
      <c r="DEL35" s="102"/>
      <c r="DEM35" s="102"/>
      <c r="DEN35" s="102"/>
      <c r="DEO35" s="102"/>
      <c r="DEP35" s="102"/>
      <c r="DEQ35" s="102"/>
      <c r="DER35" s="102"/>
      <c r="DES35" s="102"/>
      <c r="DET35" s="102"/>
      <c r="DEU35" s="102"/>
      <c r="DEV35" s="102"/>
      <c r="DEW35" s="102"/>
      <c r="DEX35" s="102"/>
      <c r="DEY35" s="102"/>
      <c r="DEZ35" s="102"/>
      <c r="DFA35" s="102"/>
      <c r="DFB35" s="102"/>
      <c r="DFC35" s="102"/>
      <c r="DFD35" s="102"/>
      <c r="DFE35" s="102"/>
      <c r="DFF35" s="102"/>
      <c r="DFG35" s="102"/>
      <c r="DFH35" s="102"/>
      <c r="DFI35" s="102"/>
      <c r="DFJ35" s="102"/>
      <c r="DFK35" s="102"/>
      <c r="DFL35" s="102"/>
      <c r="DFM35" s="102"/>
      <c r="DFN35" s="102"/>
      <c r="DFO35" s="102"/>
      <c r="DFP35" s="102"/>
      <c r="DFQ35" s="102"/>
      <c r="DFR35" s="102"/>
      <c r="DFS35" s="102"/>
      <c r="DFT35" s="102"/>
      <c r="DFU35" s="102"/>
      <c r="DFV35" s="102"/>
      <c r="DFW35" s="102"/>
      <c r="DFX35" s="102"/>
      <c r="DFY35" s="102"/>
      <c r="DFZ35" s="102"/>
      <c r="DGA35" s="102"/>
      <c r="DGB35" s="102"/>
      <c r="DGC35" s="102"/>
      <c r="DGD35" s="102"/>
      <c r="DGE35" s="102"/>
      <c r="DGF35" s="102"/>
      <c r="DGG35" s="102"/>
      <c r="DGH35" s="102"/>
      <c r="DGI35" s="102"/>
      <c r="DGJ35" s="102"/>
      <c r="DGK35" s="102"/>
      <c r="DGL35" s="102"/>
      <c r="DGM35" s="102"/>
      <c r="DGN35" s="102"/>
      <c r="DGO35" s="102"/>
      <c r="DGP35" s="102"/>
      <c r="DGQ35" s="102"/>
      <c r="DGR35" s="102"/>
      <c r="DGS35" s="102"/>
      <c r="DGT35" s="102"/>
      <c r="DGU35" s="102"/>
      <c r="DGV35" s="102"/>
      <c r="DGW35" s="102"/>
      <c r="DGX35" s="102"/>
      <c r="DGY35" s="102"/>
      <c r="DGZ35" s="102"/>
      <c r="DHA35" s="102"/>
      <c r="DHB35" s="102"/>
      <c r="DHC35" s="102"/>
      <c r="DHD35" s="102"/>
      <c r="DHE35" s="102"/>
      <c r="DHF35" s="102"/>
      <c r="DHG35" s="102"/>
      <c r="DHH35" s="102"/>
      <c r="DHI35" s="102"/>
      <c r="DHJ35" s="102"/>
      <c r="DHK35" s="102"/>
      <c r="DHL35" s="102"/>
      <c r="DHM35" s="102"/>
      <c r="DHN35" s="102"/>
      <c r="DHO35" s="102"/>
      <c r="DHP35" s="102"/>
      <c r="DHQ35" s="102"/>
      <c r="DHR35" s="102"/>
      <c r="DHS35" s="102"/>
      <c r="DHT35" s="102"/>
      <c r="DHU35" s="102"/>
      <c r="DHV35" s="102"/>
    </row>
    <row r="36" spans="1:2934" x14ac:dyDescent="0.4">
      <c r="C36" s="47"/>
      <c r="D36" s="88"/>
      <c r="E36" s="88"/>
      <c r="F36" s="89"/>
      <c r="G36" s="89"/>
      <c r="H36" s="89"/>
      <c r="I36" s="89"/>
      <c r="J36" s="89"/>
      <c r="K36" s="88"/>
      <c r="L36" s="88"/>
      <c r="M36" s="89"/>
      <c r="N36" s="90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</row>
    <row r="37" spans="1:2934" x14ac:dyDescent="0.4">
      <c r="C37" s="47"/>
      <c r="D37" s="88"/>
      <c r="E37" s="88"/>
      <c r="F37" s="89"/>
      <c r="G37" s="89"/>
      <c r="H37" s="89"/>
      <c r="I37" s="89"/>
      <c r="J37" s="89"/>
      <c r="K37" s="88"/>
      <c r="L37" s="88"/>
      <c r="M37" s="89"/>
      <c r="N37" s="90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88"/>
      <c r="AG37" s="88"/>
      <c r="AH37" s="88"/>
    </row>
    <row r="38" spans="1:2934" x14ac:dyDescent="0.4">
      <c r="C38" s="47"/>
      <c r="D38" s="88"/>
      <c r="E38" s="88"/>
      <c r="F38" s="89"/>
      <c r="G38" s="89"/>
      <c r="H38" s="89"/>
      <c r="I38" s="89"/>
      <c r="J38" s="89"/>
      <c r="K38" s="88"/>
      <c r="L38" s="88"/>
      <c r="M38" s="89"/>
      <c r="N38" s="90"/>
      <c r="O38" s="88"/>
      <c r="P38" s="88"/>
      <c r="Q38" s="120">
        <f>C35-AK35</f>
        <v>1765</v>
      </c>
      <c r="R38" s="120"/>
      <c r="S38" s="120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</row>
    <row r="39" spans="1:2934" x14ac:dyDescent="0.4">
      <c r="C39" s="47"/>
      <c r="D39" s="88"/>
      <c r="E39" s="88"/>
      <c r="F39" s="89"/>
      <c r="G39" s="89"/>
      <c r="H39" s="89"/>
      <c r="I39" s="89"/>
      <c r="J39" s="89"/>
      <c r="K39" s="88"/>
      <c r="L39" s="88"/>
      <c r="M39" s="89"/>
      <c r="N39" s="90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88"/>
      <c r="AG39" s="88"/>
      <c r="AH39" s="88"/>
    </row>
    <row r="40" spans="1:2934" x14ac:dyDescent="0.4">
      <c r="C40" s="47"/>
      <c r="D40" s="88"/>
      <c r="E40" s="88"/>
      <c r="F40" s="89"/>
      <c r="G40" s="89"/>
      <c r="H40" s="89"/>
      <c r="I40" s="89"/>
      <c r="J40" s="89"/>
      <c r="K40" s="88"/>
      <c r="L40" s="88"/>
      <c r="M40" s="89"/>
      <c r="N40" s="90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</row>
    <row r="41" spans="1:2934" x14ac:dyDescent="0.4">
      <c r="C41" s="47"/>
      <c r="D41" s="88"/>
      <c r="E41" s="88"/>
      <c r="F41" s="89"/>
      <c r="G41" s="89"/>
      <c r="H41" s="89"/>
      <c r="I41" s="89"/>
      <c r="J41" s="89"/>
      <c r="K41" s="88"/>
      <c r="L41" s="88"/>
      <c r="M41" s="89"/>
      <c r="N41" s="90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</row>
    <row r="42" spans="1:2934" x14ac:dyDescent="0.4">
      <c r="C42" s="47"/>
      <c r="D42" s="88"/>
      <c r="E42" s="88"/>
      <c r="F42" s="89"/>
      <c r="G42" s="89"/>
      <c r="H42" s="89"/>
      <c r="I42" s="89"/>
      <c r="J42" s="89"/>
      <c r="K42" s="88"/>
      <c r="L42" s="88"/>
      <c r="M42" s="89"/>
      <c r="N42" s="90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</row>
    <row r="43" spans="1:2934" x14ac:dyDescent="0.4">
      <c r="C43" s="47"/>
      <c r="D43" s="88"/>
      <c r="E43" s="88"/>
      <c r="F43" s="89"/>
      <c r="G43" s="89"/>
      <c r="H43" s="89"/>
      <c r="I43" s="89"/>
      <c r="J43" s="89"/>
      <c r="K43" s="88"/>
      <c r="L43" s="88"/>
      <c r="M43" s="89"/>
      <c r="N43" s="90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</row>
    <row r="44" spans="1:2934" x14ac:dyDescent="0.4">
      <c r="C44" s="47"/>
      <c r="D44" s="88"/>
      <c r="E44" s="88"/>
      <c r="F44" s="89"/>
      <c r="G44" s="89"/>
      <c r="H44" s="89"/>
      <c r="I44" s="89"/>
      <c r="J44" s="89"/>
      <c r="K44" s="88"/>
      <c r="L44" s="88"/>
      <c r="M44" s="89"/>
      <c r="N44" s="90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</row>
    <row r="45" spans="1:2934" x14ac:dyDescent="0.4">
      <c r="C45" s="47"/>
      <c r="D45" s="88"/>
      <c r="E45" s="88"/>
      <c r="F45" s="89"/>
      <c r="G45" s="89"/>
      <c r="H45" s="89"/>
      <c r="I45" s="89"/>
      <c r="J45" s="89"/>
      <c r="K45" s="88"/>
      <c r="L45" s="88"/>
      <c r="M45" s="89"/>
      <c r="N45" s="90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</row>
    <row r="46" spans="1:2934" x14ac:dyDescent="0.4">
      <c r="C46" s="47"/>
      <c r="D46" s="88"/>
      <c r="E46" s="88"/>
      <c r="F46" s="89"/>
      <c r="G46" s="89"/>
      <c r="H46" s="89"/>
      <c r="I46" s="89"/>
      <c r="J46" s="89"/>
      <c r="K46" s="88"/>
      <c r="L46" s="88"/>
      <c r="M46" s="89"/>
      <c r="N46" s="90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</row>
    <row r="47" spans="1:2934" x14ac:dyDescent="0.4">
      <c r="C47" s="47"/>
      <c r="D47" s="88"/>
      <c r="E47" s="88"/>
      <c r="F47" s="89"/>
      <c r="G47" s="89"/>
      <c r="H47" s="89"/>
      <c r="I47" s="89"/>
      <c r="J47" s="89"/>
      <c r="K47" s="88"/>
      <c r="L47" s="88"/>
      <c r="M47" s="89"/>
      <c r="N47" s="90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</row>
    <row r="48" spans="1:2934" x14ac:dyDescent="0.4">
      <c r="C48" s="47"/>
      <c r="D48" s="88"/>
      <c r="E48" s="88"/>
      <c r="F48" s="89"/>
      <c r="G48" s="89"/>
      <c r="H48" s="89"/>
      <c r="I48" s="89"/>
      <c r="J48" s="89"/>
      <c r="K48" s="88"/>
      <c r="L48" s="88"/>
      <c r="M48" s="89"/>
      <c r="N48" s="90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</row>
    <row r="49" spans="3:34" x14ac:dyDescent="0.4">
      <c r="C49" s="47"/>
      <c r="D49" s="88"/>
      <c r="E49" s="88"/>
      <c r="F49" s="89"/>
      <c r="G49" s="89"/>
      <c r="H49" s="89"/>
      <c r="I49" s="89"/>
      <c r="J49" s="89"/>
      <c r="K49" s="88"/>
      <c r="L49" s="88"/>
      <c r="M49" s="89"/>
      <c r="N49" s="90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  <c r="AH49" s="88"/>
    </row>
    <row r="50" spans="3:34" x14ac:dyDescent="0.4">
      <c r="C50" s="47"/>
      <c r="D50" s="88"/>
      <c r="E50" s="88"/>
      <c r="F50" s="89"/>
      <c r="G50" s="89"/>
      <c r="H50" s="89"/>
      <c r="I50" s="89"/>
      <c r="J50" s="89"/>
      <c r="K50" s="88"/>
      <c r="L50" s="88"/>
      <c r="M50" s="89"/>
      <c r="N50" s="90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88"/>
    </row>
    <row r="51" spans="3:34" x14ac:dyDescent="0.4">
      <c r="C51" s="47"/>
      <c r="D51" s="88"/>
      <c r="E51" s="88"/>
      <c r="F51" s="89"/>
      <c r="G51" s="89"/>
      <c r="H51" s="89"/>
      <c r="I51" s="89"/>
      <c r="J51" s="89"/>
      <c r="K51" s="88"/>
      <c r="L51" s="88"/>
      <c r="M51" s="89"/>
      <c r="N51" s="90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8"/>
      <c r="AD51" s="88"/>
      <c r="AE51" s="88"/>
      <c r="AF51" s="88"/>
      <c r="AG51" s="88"/>
      <c r="AH51" s="88"/>
    </row>
    <row r="52" spans="3:34" x14ac:dyDescent="0.4">
      <c r="C52" s="47"/>
      <c r="D52" s="88"/>
      <c r="E52" s="88"/>
      <c r="F52" s="89"/>
      <c r="G52" s="89"/>
      <c r="H52" s="89"/>
      <c r="I52" s="89"/>
      <c r="J52" s="89"/>
      <c r="K52" s="88"/>
      <c r="L52" s="88"/>
      <c r="M52" s="89"/>
      <c r="N52" s="90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  <c r="AH52" s="88"/>
    </row>
    <row r="53" spans="3:34" x14ac:dyDescent="0.4">
      <c r="C53" s="47"/>
      <c r="D53" s="88"/>
      <c r="E53" s="88"/>
      <c r="F53" s="89"/>
      <c r="G53" s="89"/>
      <c r="H53" s="89"/>
      <c r="I53" s="89"/>
      <c r="J53" s="89"/>
      <c r="K53" s="88"/>
      <c r="L53" s="88"/>
      <c r="M53" s="89"/>
      <c r="N53" s="90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  <c r="AH53" s="88"/>
    </row>
    <row r="54" spans="3:34" x14ac:dyDescent="0.4">
      <c r="C54" s="47"/>
      <c r="D54" s="88"/>
      <c r="E54" s="88"/>
      <c r="F54" s="89"/>
      <c r="G54" s="89"/>
      <c r="H54" s="89"/>
      <c r="I54" s="89"/>
      <c r="J54" s="89"/>
      <c r="K54" s="88"/>
      <c r="L54" s="88"/>
      <c r="M54" s="89"/>
      <c r="N54" s="90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</row>
    <row r="55" spans="3:34" x14ac:dyDescent="0.4">
      <c r="C55" s="47"/>
      <c r="D55" s="88"/>
      <c r="E55" s="88"/>
      <c r="F55" s="89"/>
      <c r="G55" s="89"/>
      <c r="H55" s="89"/>
      <c r="I55" s="89"/>
      <c r="J55" s="89"/>
      <c r="K55" s="88"/>
      <c r="L55" s="88"/>
      <c r="M55" s="89"/>
      <c r="N55" s="90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88"/>
      <c r="AC55" s="88"/>
      <c r="AD55" s="88"/>
      <c r="AE55" s="88"/>
      <c r="AF55" s="88"/>
      <c r="AG55" s="88"/>
      <c r="AH55" s="88"/>
    </row>
    <row r="56" spans="3:34" x14ac:dyDescent="0.4">
      <c r="C56" s="47"/>
      <c r="D56" s="88"/>
      <c r="E56" s="88"/>
      <c r="F56" s="89"/>
      <c r="G56" s="89"/>
      <c r="H56" s="89"/>
      <c r="I56" s="89"/>
      <c r="J56" s="89"/>
      <c r="K56" s="88"/>
      <c r="L56" s="88"/>
      <c r="M56" s="89"/>
      <c r="N56" s="90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  <c r="AH56" s="88"/>
    </row>
    <row r="57" spans="3:34" x14ac:dyDescent="0.4">
      <c r="C57" s="47"/>
      <c r="D57" s="88"/>
      <c r="E57" s="88"/>
      <c r="F57" s="89"/>
      <c r="G57" s="89"/>
      <c r="H57" s="89"/>
      <c r="I57" s="89"/>
      <c r="J57" s="89"/>
      <c r="K57" s="88"/>
      <c r="L57" s="88"/>
      <c r="M57" s="89"/>
      <c r="N57" s="90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  <c r="AH57" s="88"/>
    </row>
    <row r="58" spans="3:34" x14ac:dyDescent="0.4">
      <c r="C58" s="47"/>
      <c r="D58" s="88"/>
      <c r="E58" s="88"/>
      <c r="F58" s="89"/>
      <c r="G58" s="89"/>
      <c r="H58" s="89"/>
      <c r="I58" s="89"/>
      <c r="J58" s="89"/>
      <c r="K58" s="88"/>
      <c r="L58" s="88"/>
      <c r="M58" s="89"/>
      <c r="N58" s="90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8"/>
      <c r="AH58" s="88"/>
    </row>
    <row r="59" spans="3:34" x14ac:dyDescent="0.4">
      <c r="C59" s="47"/>
      <c r="D59" s="88"/>
      <c r="E59" s="88"/>
      <c r="F59" s="89"/>
      <c r="G59" s="89"/>
      <c r="H59" s="89"/>
      <c r="I59" s="89"/>
      <c r="J59" s="89"/>
      <c r="K59" s="88"/>
      <c r="L59" s="88"/>
      <c r="M59" s="89"/>
      <c r="N59" s="90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8"/>
      <c r="AH59" s="88"/>
    </row>
    <row r="60" spans="3:34" x14ac:dyDescent="0.4">
      <c r="C60" s="47"/>
      <c r="D60" s="88"/>
      <c r="E60" s="88"/>
      <c r="F60" s="89"/>
      <c r="G60" s="89"/>
      <c r="H60" s="89"/>
      <c r="I60" s="89"/>
      <c r="J60" s="89"/>
      <c r="K60" s="88"/>
      <c r="L60" s="88"/>
      <c r="M60" s="89"/>
      <c r="N60" s="90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</row>
    <row r="61" spans="3:34" x14ac:dyDescent="0.4">
      <c r="C61" s="47"/>
      <c r="D61" s="88"/>
      <c r="E61" s="88"/>
      <c r="F61" s="89"/>
      <c r="G61" s="89"/>
      <c r="H61" s="89"/>
      <c r="I61" s="89"/>
      <c r="J61" s="89"/>
      <c r="K61" s="88"/>
      <c r="L61" s="88"/>
      <c r="M61" s="89"/>
      <c r="N61" s="90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E61" s="88"/>
      <c r="AF61" s="88"/>
      <c r="AG61" s="88"/>
      <c r="AH61" s="88"/>
    </row>
    <row r="62" spans="3:34" x14ac:dyDescent="0.4">
      <c r="C62" s="47"/>
      <c r="D62" s="88"/>
      <c r="E62" s="88"/>
      <c r="F62" s="89"/>
      <c r="G62" s="89"/>
      <c r="H62" s="89"/>
      <c r="I62" s="89"/>
      <c r="J62" s="89"/>
      <c r="K62" s="88"/>
      <c r="L62" s="88"/>
      <c r="M62" s="89"/>
      <c r="N62" s="90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</row>
    <row r="63" spans="3:34" x14ac:dyDescent="0.4">
      <c r="C63" s="47"/>
      <c r="D63" s="88"/>
      <c r="E63" s="88"/>
      <c r="F63" s="89"/>
      <c r="G63" s="89"/>
      <c r="H63" s="89"/>
      <c r="I63" s="89"/>
      <c r="J63" s="89"/>
      <c r="K63" s="88"/>
      <c r="L63" s="88"/>
      <c r="M63" s="89"/>
      <c r="N63" s="90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</row>
    <row r="64" spans="3:34" x14ac:dyDescent="0.4">
      <c r="C64" s="47"/>
      <c r="D64" s="88"/>
      <c r="E64" s="88"/>
      <c r="F64" s="89"/>
      <c r="G64" s="89"/>
      <c r="H64" s="89"/>
      <c r="I64" s="89"/>
      <c r="J64" s="89"/>
      <c r="K64" s="88"/>
      <c r="L64" s="88"/>
      <c r="M64" s="89"/>
      <c r="N64" s="90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  <c r="AH64" s="88"/>
    </row>
    <row r="65" spans="3:34" x14ac:dyDescent="0.4">
      <c r="C65" s="47"/>
      <c r="D65" s="88"/>
      <c r="E65" s="88"/>
      <c r="F65" s="89"/>
      <c r="G65" s="89"/>
      <c r="H65" s="89"/>
      <c r="I65" s="89"/>
      <c r="J65" s="89"/>
      <c r="K65" s="88"/>
      <c r="L65" s="88"/>
      <c r="M65" s="89"/>
      <c r="N65" s="90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  <c r="AE65" s="88"/>
      <c r="AF65" s="88"/>
      <c r="AG65" s="88"/>
      <c r="AH65" s="88"/>
    </row>
    <row r="66" spans="3:34" x14ac:dyDescent="0.4">
      <c r="C66" s="47"/>
      <c r="D66" s="88"/>
      <c r="E66" s="88"/>
      <c r="F66" s="89"/>
      <c r="G66" s="89"/>
      <c r="H66" s="89"/>
      <c r="I66" s="89"/>
      <c r="J66" s="89"/>
      <c r="K66" s="88"/>
      <c r="L66" s="88"/>
      <c r="M66" s="89"/>
      <c r="N66" s="90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C66" s="88"/>
      <c r="AD66" s="88"/>
      <c r="AE66" s="88"/>
      <c r="AF66" s="88"/>
      <c r="AG66" s="88"/>
      <c r="AH66" s="88"/>
    </row>
    <row r="67" spans="3:34" x14ac:dyDescent="0.4">
      <c r="C67" s="47"/>
      <c r="D67" s="88"/>
      <c r="E67" s="88"/>
      <c r="F67" s="89"/>
      <c r="G67" s="89"/>
      <c r="H67" s="89"/>
      <c r="I67" s="89"/>
      <c r="J67" s="89"/>
      <c r="K67" s="88"/>
      <c r="L67" s="88"/>
      <c r="M67" s="89"/>
      <c r="N67" s="90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88"/>
      <c r="AD67" s="88"/>
      <c r="AE67" s="88"/>
      <c r="AF67" s="88"/>
      <c r="AG67" s="88"/>
      <c r="AH67" s="88"/>
    </row>
    <row r="68" spans="3:34" x14ac:dyDescent="0.4">
      <c r="C68" s="47"/>
      <c r="D68" s="88"/>
      <c r="E68" s="88"/>
      <c r="F68" s="89"/>
      <c r="G68" s="89"/>
      <c r="H68" s="89"/>
      <c r="I68" s="89"/>
      <c r="J68" s="89"/>
      <c r="K68" s="88"/>
      <c r="L68" s="88"/>
      <c r="M68" s="89"/>
      <c r="N68" s="90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88"/>
      <c r="AC68" s="88"/>
      <c r="AD68" s="88"/>
      <c r="AE68" s="88"/>
      <c r="AF68" s="88"/>
      <c r="AG68" s="88"/>
      <c r="AH68" s="88"/>
    </row>
    <row r="69" spans="3:34" x14ac:dyDescent="0.4">
      <c r="C69" s="47"/>
      <c r="D69" s="88"/>
      <c r="E69" s="88"/>
      <c r="F69" s="89"/>
      <c r="G69" s="89"/>
      <c r="H69" s="89"/>
      <c r="I69" s="89"/>
      <c r="J69" s="89"/>
      <c r="K69" s="88"/>
      <c r="L69" s="88"/>
      <c r="M69" s="89"/>
      <c r="N69" s="90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88"/>
      <c r="AC69" s="88"/>
      <c r="AD69" s="88"/>
      <c r="AE69" s="88"/>
      <c r="AF69" s="88"/>
      <c r="AG69" s="88"/>
      <c r="AH69" s="88"/>
    </row>
    <row r="70" spans="3:34" x14ac:dyDescent="0.4">
      <c r="C70" s="47"/>
      <c r="D70" s="88"/>
      <c r="E70" s="88"/>
      <c r="F70" s="89"/>
      <c r="G70" s="89"/>
      <c r="H70" s="89"/>
      <c r="I70" s="89"/>
      <c r="J70" s="89"/>
      <c r="K70" s="88"/>
      <c r="L70" s="88"/>
      <c r="M70" s="89"/>
      <c r="N70" s="90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</row>
    <row r="71" spans="3:34" x14ac:dyDescent="0.4">
      <c r="C71" s="47"/>
      <c r="D71" s="88"/>
      <c r="E71" s="88"/>
      <c r="F71" s="89"/>
      <c r="G71" s="89"/>
      <c r="H71" s="89"/>
      <c r="I71" s="89"/>
      <c r="J71" s="89"/>
      <c r="K71" s="88"/>
      <c r="L71" s="88"/>
      <c r="M71" s="89"/>
      <c r="N71" s="90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88"/>
      <c r="AC71" s="88"/>
      <c r="AD71" s="88"/>
      <c r="AE71" s="88"/>
      <c r="AF71" s="88"/>
      <c r="AG71" s="88"/>
      <c r="AH71" s="88"/>
    </row>
    <row r="72" spans="3:34" x14ac:dyDescent="0.4">
      <c r="C72" s="47"/>
      <c r="D72" s="88"/>
      <c r="E72" s="88"/>
      <c r="F72" s="89"/>
      <c r="G72" s="89"/>
      <c r="H72" s="89"/>
      <c r="I72" s="89"/>
      <c r="J72" s="89"/>
      <c r="K72" s="88"/>
      <c r="L72" s="88"/>
      <c r="M72" s="89"/>
      <c r="N72" s="90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88"/>
      <c r="AC72" s="88"/>
      <c r="AD72" s="88"/>
      <c r="AE72" s="88"/>
      <c r="AF72" s="88"/>
      <c r="AG72" s="88"/>
      <c r="AH72" s="88"/>
    </row>
    <row r="73" spans="3:34" x14ac:dyDescent="0.4">
      <c r="C73" s="47"/>
      <c r="D73" s="88"/>
      <c r="E73" s="88"/>
      <c r="F73" s="89"/>
      <c r="G73" s="89"/>
      <c r="H73" s="89"/>
      <c r="I73" s="89"/>
      <c r="J73" s="89"/>
      <c r="K73" s="88"/>
      <c r="L73" s="88"/>
      <c r="M73" s="89"/>
      <c r="N73" s="90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88"/>
      <c r="AC73" s="88"/>
      <c r="AD73" s="88"/>
      <c r="AE73" s="88"/>
      <c r="AF73" s="88"/>
      <c r="AG73" s="88"/>
      <c r="AH73" s="88"/>
    </row>
    <row r="74" spans="3:34" x14ac:dyDescent="0.4">
      <c r="C74" s="47"/>
      <c r="D74" s="88"/>
      <c r="E74" s="88"/>
      <c r="F74" s="89"/>
      <c r="G74" s="89"/>
      <c r="H74" s="89"/>
      <c r="I74" s="89"/>
      <c r="J74" s="89"/>
      <c r="K74" s="88"/>
      <c r="L74" s="88"/>
      <c r="M74" s="89"/>
      <c r="N74" s="90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88"/>
      <c r="AC74" s="88"/>
      <c r="AD74" s="88"/>
      <c r="AE74" s="88"/>
      <c r="AF74" s="88"/>
      <c r="AG74" s="88"/>
      <c r="AH74" s="88"/>
    </row>
    <row r="75" spans="3:34" x14ac:dyDescent="0.4">
      <c r="C75" s="47"/>
      <c r="D75" s="88"/>
      <c r="E75" s="88"/>
      <c r="F75" s="89"/>
      <c r="G75" s="89"/>
      <c r="H75" s="89"/>
      <c r="I75" s="89"/>
      <c r="J75" s="89"/>
      <c r="K75" s="88"/>
      <c r="L75" s="88"/>
      <c r="M75" s="89"/>
      <c r="N75" s="90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88"/>
      <c r="AC75" s="88"/>
      <c r="AD75" s="88"/>
      <c r="AE75" s="88"/>
      <c r="AF75" s="88"/>
      <c r="AG75" s="88"/>
      <c r="AH75" s="88"/>
    </row>
    <row r="76" spans="3:34" x14ac:dyDescent="0.4">
      <c r="C76" s="47"/>
      <c r="D76" s="88"/>
      <c r="E76" s="88"/>
      <c r="F76" s="89"/>
      <c r="G76" s="89"/>
      <c r="H76" s="89"/>
      <c r="I76" s="89"/>
      <c r="J76" s="89"/>
      <c r="K76" s="88"/>
      <c r="L76" s="88"/>
      <c r="M76" s="89"/>
      <c r="N76" s="90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88"/>
      <c r="AC76" s="88"/>
      <c r="AD76" s="88"/>
      <c r="AE76" s="88"/>
      <c r="AF76" s="88"/>
      <c r="AG76" s="88"/>
      <c r="AH76" s="88"/>
    </row>
    <row r="77" spans="3:34" x14ac:dyDescent="0.4">
      <c r="C77" s="47"/>
      <c r="D77" s="88"/>
      <c r="E77" s="88"/>
      <c r="F77" s="89"/>
      <c r="G77" s="89"/>
      <c r="H77" s="89"/>
      <c r="I77" s="89"/>
      <c r="J77" s="89"/>
      <c r="K77" s="88"/>
      <c r="L77" s="88"/>
      <c r="M77" s="89"/>
      <c r="N77" s="90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88"/>
      <c r="AC77" s="88"/>
      <c r="AD77" s="88"/>
      <c r="AE77" s="88"/>
      <c r="AF77" s="88"/>
      <c r="AG77" s="88"/>
      <c r="AH77" s="88"/>
    </row>
    <row r="78" spans="3:34" x14ac:dyDescent="0.4">
      <c r="C78" s="47"/>
      <c r="D78" s="88"/>
      <c r="E78" s="88"/>
      <c r="F78" s="89"/>
      <c r="G78" s="89"/>
      <c r="H78" s="89"/>
      <c r="I78" s="89"/>
      <c r="J78" s="89"/>
      <c r="K78" s="88"/>
      <c r="L78" s="88"/>
      <c r="M78" s="89"/>
      <c r="N78" s="90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  <c r="AH78" s="88"/>
    </row>
    <row r="79" spans="3:34" x14ac:dyDescent="0.4">
      <c r="C79" s="47"/>
      <c r="D79" s="88"/>
      <c r="E79" s="88"/>
      <c r="F79" s="89"/>
      <c r="G79" s="89"/>
      <c r="H79" s="89"/>
      <c r="I79" s="89"/>
      <c r="J79" s="89"/>
      <c r="K79" s="88"/>
      <c r="L79" s="88"/>
      <c r="M79" s="89"/>
      <c r="N79" s="90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88"/>
      <c r="AC79" s="88"/>
      <c r="AD79" s="88"/>
      <c r="AE79" s="88"/>
      <c r="AF79" s="88"/>
      <c r="AG79" s="88"/>
      <c r="AH79" s="88"/>
    </row>
    <row r="80" spans="3:34" x14ac:dyDescent="0.4">
      <c r="C80" s="47"/>
      <c r="D80" s="88"/>
      <c r="E80" s="88"/>
      <c r="F80" s="89"/>
      <c r="G80" s="89"/>
      <c r="H80" s="89"/>
      <c r="I80" s="89"/>
      <c r="J80" s="89"/>
      <c r="K80" s="88"/>
      <c r="L80" s="88"/>
      <c r="M80" s="89"/>
      <c r="N80" s="90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88"/>
      <c r="AC80" s="88"/>
      <c r="AD80" s="88"/>
      <c r="AE80" s="88"/>
      <c r="AF80" s="88"/>
      <c r="AG80" s="88"/>
      <c r="AH80" s="88"/>
    </row>
    <row r="81" spans="3:34" x14ac:dyDescent="0.4">
      <c r="C81" s="47"/>
      <c r="D81" s="88"/>
      <c r="E81" s="88"/>
      <c r="F81" s="89"/>
      <c r="G81" s="89"/>
      <c r="H81" s="89"/>
      <c r="I81" s="89"/>
      <c r="J81" s="89"/>
      <c r="K81" s="88"/>
      <c r="L81" s="88"/>
      <c r="M81" s="89"/>
      <c r="N81" s="90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  <c r="AE81" s="88"/>
      <c r="AF81" s="88"/>
      <c r="AG81" s="88"/>
      <c r="AH81" s="88"/>
    </row>
    <row r="82" spans="3:34" x14ac:dyDescent="0.4">
      <c r="C82" s="47"/>
      <c r="D82" s="88"/>
      <c r="E82" s="88"/>
      <c r="F82" s="89"/>
      <c r="G82" s="89"/>
      <c r="H82" s="89"/>
      <c r="I82" s="89"/>
      <c r="J82" s="89"/>
      <c r="K82" s="88"/>
      <c r="L82" s="88"/>
      <c r="M82" s="89"/>
      <c r="N82" s="90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  <c r="AE82" s="88"/>
      <c r="AF82" s="88"/>
      <c r="AG82" s="88"/>
      <c r="AH82" s="88"/>
    </row>
    <row r="83" spans="3:34" x14ac:dyDescent="0.4">
      <c r="C83" s="47"/>
      <c r="D83" s="88"/>
      <c r="E83" s="88"/>
      <c r="F83" s="89"/>
      <c r="G83" s="89"/>
      <c r="H83" s="89"/>
      <c r="I83" s="89"/>
      <c r="J83" s="89"/>
      <c r="K83" s="88"/>
      <c r="L83" s="88"/>
      <c r="M83" s="89"/>
      <c r="N83" s="90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88"/>
      <c r="AC83" s="88"/>
      <c r="AD83" s="88"/>
      <c r="AE83" s="88"/>
      <c r="AF83" s="88"/>
      <c r="AG83" s="88"/>
      <c r="AH83" s="88"/>
    </row>
    <row r="84" spans="3:34" x14ac:dyDescent="0.4">
      <c r="C84" s="47"/>
      <c r="D84" s="88"/>
      <c r="E84" s="88"/>
      <c r="F84" s="89"/>
      <c r="G84" s="89"/>
      <c r="H84" s="89"/>
      <c r="I84" s="89"/>
      <c r="J84" s="89"/>
      <c r="K84" s="88"/>
      <c r="L84" s="88"/>
      <c r="M84" s="89"/>
      <c r="N84" s="90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  <c r="AE84" s="88"/>
      <c r="AF84" s="88"/>
      <c r="AG84" s="88"/>
      <c r="AH84" s="88"/>
    </row>
    <row r="85" spans="3:34" x14ac:dyDescent="0.4">
      <c r="C85" s="47"/>
      <c r="D85" s="88"/>
      <c r="E85" s="88"/>
      <c r="F85" s="89"/>
      <c r="G85" s="89"/>
      <c r="H85" s="89"/>
      <c r="I85" s="89"/>
      <c r="J85" s="89"/>
      <c r="K85" s="88"/>
      <c r="L85" s="88"/>
      <c r="M85" s="89"/>
      <c r="N85" s="90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  <c r="AE85" s="88"/>
      <c r="AF85" s="88"/>
      <c r="AG85" s="88"/>
      <c r="AH85" s="88"/>
    </row>
    <row r="86" spans="3:34" x14ac:dyDescent="0.4">
      <c r="C86" s="47"/>
      <c r="D86" s="88"/>
      <c r="E86" s="88"/>
      <c r="F86" s="89"/>
      <c r="G86" s="89"/>
      <c r="H86" s="89"/>
      <c r="I86" s="89"/>
      <c r="J86" s="89"/>
      <c r="K86" s="88"/>
      <c r="L86" s="88"/>
      <c r="M86" s="89"/>
      <c r="N86" s="90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  <c r="AH86" s="88"/>
    </row>
    <row r="87" spans="3:34" x14ac:dyDescent="0.4">
      <c r="C87" s="47"/>
      <c r="D87" s="88"/>
      <c r="E87" s="88"/>
      <c r="F87" s="89"/>
      <c r="G87" s="89"/>
      <c r="H87" s="89"/>
      <c r="I87" s="89"/>
      <c r="J87" s="89"/>
      <c r="K87" s="88"/>
      <c r="L87" s="88"/>
      <c r="M87" s="89"/>
      <c r="N87" s="90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88"/>
      <c r="AC87" s="88"/>
      <c r="AD87" s="88"/>
      <c r="AE87" s="88"/>
      <c r="AF87" s="88"/>
      <c r="AG87" s="88"/>
      <c r="AH87" s="88"/>
    </row>
    <row r="88" spans="3:34" x14ac:dyDescent="0.4">
      <c r="C88" s="47"/>
      <c r="D88" s="88"/>
      <c r="E88" s="88"/>
      <c r="F88" s="89"/>
      <c r="G88" s="89"/>
      <c r="H88" s="89"/>
      <c r="I88" s="89"/>
      <c r="J88" s="89"/>
      <c r="K88" s="88"/>
      <c r="L88" s="88"/>
      <c r="M88" s="89"/>
      <c r="N88" s="90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88"/>
      <c r="AC88" s="88"/>
      <c r="AD88" s="88"/>
      <c r="AE88" s="88"/>
      <c r="AF88" s="88"/>
      <c r="AG88" s="88"/>
      <c r="AH88" s="88"/>
    </row>
    <row r="89" spans="3:34" x14ac:dyDescent="0.4">
      <c r="C89" s="47"/>
      <c r="D89" s="88"/>
      <c r="E89" s="88"/>
      <c r="F89" s="89"/>
      <c r="G89" s="89"/>
      <c r="H89" s="89"/>
      <c r="I89" s="89"/>
      <c r="J89" s="89"/>
      <c r="K89" s="88"/>
      <c r="L89" s="88"/>
      <c r="M89" s="89"/>
      <c r="N89" s="90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  <c r="AH89" s="88"/>
    </row>
    <row r="90" spans="3:34" x14ac:dyDescent="0.4">
      <c r="C90" s="47"/>
      <c r="D90" s="88"/>
      <c r="E90" s="88"/>
      <c r="F90" s="89"/>
      <c r="G90" s="89"/>
      <c r="H90" s="89"/>
      <c r="I90" s="89"/>
      <c r="J90" s="89"/>
      <c r="K90" s="88"/>
      <c r="L90" s="88"/>
      <c r="M90" s="89"/>
      <c r="N90" s="90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88"/>
      <c r="AC90" s="88"/>
      <c r="AD90" s="88"/>
      <c r="AE90" s="88"/>
      <c r="AF90" s="88"/>
      <c r="AG90" s="88"/>
      <c r="AH90" s="88"/>
    </row>
    <row r="91" spans="3:34" x14ac:dyDescent="0.4">
      <c r="C91" s="47"/>
      <c r="D91" s="88"/>
      <c r="E91" s="88"/>
      <c r="F91" s="89"/>
      <c r="G91" s="89"/>
      <c r="H91" s="89"/>
      <c r="I91" s="89"/>
      <c r="J91" s="89"/>
      <c r="K91" s="88"/>
      <c r="L91" s="88"/>
      <c r="M91" s="89"/>
      <c r="N91" s="90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88"/>
      <c r="AC91" s="88"/>
      <c r="AD91" s="88"/>
      <c r="AE91" s="88"/>
      <c r="AF91" s="88"/>
      <c r="AG91" s="88"/>
      <c r="AH91" s="88"/>
    </row>
    <row r="92" spans="3:34" x14ac:dyDescent="0.4">
      <c r="C92" s="47"/>
      <c r="D92" s="88"/>
      <c r="E92" s="88"/>
      <c r="F92" s="89"/>
      <c r="G92" s="89"/>
      <c r="H92" s="89"/>
      <c r="I92" s="89"/>
      <c r="J92" s="89"/>
      <c r="K92" s="88"/>
      <c r="L92" s="88"/>
      <c r="M92" s="89"/>
      <c r="N92" s="90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88"/>
      <c r="AC92" s="88"/>
      <c r="AD92" s="88"/>
      <c r="AE92" s="88"/>
      <c r="AF92" s="88"/>
      <c r="AG92" s="88"/>
      <c r="AH92" s="88"/>
    </row>
    <row r="93" spans="3:34" x14ac:dyDescent="0.4">
      <c r="C93" s="47"/>
      <c r="D93" s="88"/>
      <c r="E93" s="88"/>
      <c r="F93" s="89"/>
      <c r="G93" s="89"/>
      <c r="H93" s="89"/>
      <c r="I93" s="89"/>
      <c r="J93" s="89"/>
      <c r="K93" s="88"/>
      <c r="L93" s="88"/>
      <c r="M93" s="89"/>
      <c r="N93" s="90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  <c r="AE93" s="88"/>
      <c r="AF93" s="88"/>
      <c r="AG93" s="88"/>
      <c r="AH93" s="88"/>
    </row>
    <row r="94" spans="3:34" x14ac:dyDescent="0.4">
      <c r="C94" s="47"/>
      <c r="D94" s="88"/>
      <c r="E94" s="88"/>
      <c r="F94" s="89"/>
      <c r="G94" s="89"/>
      <c r="H94" s="89"/>
      <c r="I94" s="89"/>
      <c r="J94" s="89"/>
      <c r="K94" s="88"/>
      <c r="L94" s="88"/>
      <c r="M94" s="89"/>
      <c r="N94" s="90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</row>
    <row r="95" spans="3:34" x14ac:dyDescent="0.4">
      <c r="C95" s="47"/>
      <c r="D95" s="88"/>
      <c r="E95" s="88"/>
      <c r="F95" s="89"/>
      <c r="G95" s="89"/>
      <c r="H95" s="89"/>
      <c r="I95" s="89"/>
      <c r="J95" s="89"/>
      <c r="K95" s="88"/>
      <c r="L95" s="88"/>
      <c r="M95" s="89"/>
      <c r="N95" s="90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  <c r="AE95" s="88"/>
      <c r="AF95" s="88"/>
      <c r="AG95" s="88"/>
      <c r="AH95" s="88"/>
    </row>
    <row r="96" spans="3:34" x14ac:dyDescent="0.4">
      <c r="C96" s="47"/>
      <c r="D96" s="88"/>
      <c r="E96" s="88"/>
      <c r="F96" s="89"/>
      <c r="G96" s="89"/>
      <c r="H96" s="89"/>
      <c r="I96" s="89"/>
      <c r="J96" s="89"/>
      <c r="K96" s="88"/>
      <c r="L96" s="88"/>
      <c r="M96" s="89"/>
      <c r="N96" s="90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88"/>
      <c r="AC96" s="88"/>
      <c r="AD96" s="88"/>
      <c r="AE96" s="88"/>
      <c r="AF96" s="88"/>
      <c r="AG96" s="88"/>
      <c r="AH96" s="88"/>
    </row>
    <row r="97" spans="3:34" x14ac:dyDescent="0.4">
      <c r="C97" s="47"/>
      <c r="D97" s="88"/>
      <c r="E97" s="88"/>
      <c r="F97" s="89"/>
      <c r="G97" s="89"/>
      <c r="H97" s="89"/>
      <c r="I97" s="89"/>
      <c r="J97" s="89"/>
      <c r="K97" s="88"/>
      <c r="L97" s="88"/>
      <c r="M97" s="89"/>
      <c r="N97" s="90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88"/>
      <c r="AC97" s="88"/>
      <c r="AD97" s="88"/>
      <c r="AE97" s="88"/>
      <c r="AF97" s="88"/>
      <c r="AG97" s="88"/>
      <c r="AH97" s="88"/>
    </row>
  </sheetData>
  <mergeCells count="20"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  <mergeCell ref="Q38:S38"/>
    <mergeCell ref="A35:B35"/>
    <mergeCell ref="B12:C12"/>
    <mergeCell ref="B13:C13"/>
  </mergeCells>
  <pageMargins left="0.25" right="0.25" top="0.75" bottom="0.75" header="0.3" footer="0.3"/>
  <pageSetup orientation="landscape" r:id="rId1"/>
  <ignoredErrors>
    <ignoredError sqref="AI6:AI8 D35:AA35 AB35:AH35 AI9:AI34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6" t="s">
        <v>31</v>
      </c>
      <c r="D1" s="146" t="s">
        <v>32</v>
      </c>
      <c r="E1" s="146" t="s">
        <v>42</v>
      </c>
    </row>
    <row r="2" spans="3:13" s="10" customFormat="1" ht="7.5" customHeight="1" x14ac:dyDescent="0.3">
      <c r="C2" s="147"/>
      <c r="D2" s="147"/>
      <c r="E2" s="147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8" t="s">
        <v>31</v>
      </c>
      <c r="D35" s="148" t="s">
        <v>32</v>
      </c>
      <c r="E35" s="150" t="s">
        <v>35</v>
      </c>
    </row>
    <row r="36" spans="3:5" ht="21" customHeight="1" x14ac:dyDescent="0.3">
      <c r="C36" s="149"/>
      <c r="D36" s="149"/>
      <c r="E36" s="151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6" customWidth="1"/>
    <col min="2" max="2" width="25.33203125" style="45" bestFit="1" customWidth="1"/>
    <col min="3" max="3" width="11.5546875" style="45" bestFit="1" customWidth="1"/>
    <col min="4" max="4" width="15.44140625" style="48" bestFit="1" customWidth="1"/>
    <col min="5" max="5" width="12.109375" style="45" bestFit="1" customWidth="1"/>
    <col min="6" max="7" width="10.44140625" bestFit="1" customWidth="1"/>
  </cols>
  <sheetData>
    <row r="1" spans="1:7" ht="15.6" x14ac:dyDescent="0.3">
      <c r="A1" s="56" t="s">
        <v>89</v>
      </c>
      <c r="B1" s="56"/>
      <c r="C1" s="56"/>
      <c r="D1" s="56"/>
      <c r="E1" s="56"/>
      <c r="F1" s="56"/>
      <c r="G1" s="57"/>
    </row>
    <row r="2" spans="1:7" ht="15.6" x14ac:dyDescent="0.3">
      <c r="A2" s="56" t="s">
        <v>90</v>
      </c>
      <c r="B2" s="56"/>
      <c r="C2" s="56"/>
      <c r="D2" s="56"/>
      <c r="E2" s="56"/>
      <c r="F2" s="56"/>
      <c r="G2" s="57"/>
    </row>
    <row r="3" spans="1:7" ht="15.6" x14ac:dyDescent="0.3">
      <c r="A3" s="56" t="s">
        <v>91</v>
      </c>
      <c r="B3" s="56"/>
      <c r="C3" s="56"/>
      <c r="D3" s="56"/>
      <c r="E3" s="56"/>
      <c r="F3" s="56"/>
      <c r="G3" s="57"/>
    </row>
    <row r="4" spans="1:7" ht="15.6" x14ac:dyDescent="0.3">
      <c r="A4" s="56" t="s">
        <v>92</v>
      </c>
      <c r="B4" s="56"/>
      <c r="C4" s="56"/>
      <c r="D4" s="56"/>
      <c r="E4" s="56"/>
      <c r="F4" s="56"/>
      <c r="G4" s="57"/>
    </row>
    <row r="5" spans="1:7" ht="31.2" x14ac:dyDescent="0.3">
      <c r="A5" s="53" t="s">
        <v>37</v>
      </c>
      <c r="B5" s="54" t="s">
        <v>0</v>
      </c>
      <c r="C5" s="54" t="s">
        <v>38</v>
      </c>
      <c r="D5" s="54" t="s">
        <v>29</v>
      </c>
      <c r="E5" s="55" t="s">
        <v>93</v>
      </c>
      <c r="F5" s="54" t="s">
        <v>30</v>
      </c>
      <c r="G5" s="54" t="s">
        <v>94</v>
      </c>
    </row>
    <row r="6" spans="1:7" ht="15.6" x14ac:dyDescent="0.3">
      <c r="A6" s="55">
        <v>1</v>
      </c>
      <c r="B6" s="60" t="s">
        <v>44</v>
      </c>
      <c r="C6" s="61">
        <v>20090871</v>
      </c>
      <c r="D6" s="55" t="s">
        <v>3</v>
      </c>
      <c r="E6" s="55">
        <v>10</v>
      </c>
      <c r="F6" s="55">
        <v>10</v>
      </c>
      <c r="G6" s="58">
        <f t="shared" ref="G6:G37" si="0">E6*F6</f>
        <v>100</v>
      </c>
    </row>
    <row r="7" spans="1:7" ht="15.6" x14ac:dyDescent="0.3">
      <c r="A7" s="55">
        <v>2</v>
      </c>
      <c r="B7" s="62" t="s">
        <v>87</v>
      </c>
      <c r="C7" s="55">
        <v>20100257</v>
      </c>
      <c r="D7" s="55" t="s">
        <v>1</v>
      </c>
      <c r="E7" s="55">
        <v>10</v>
      </c>
      <c r="F7" s="55">
        <v>11</v>
      </c>
      <c r="G7" s="58">
        <f t="shared" si="0"/>
        <v>110</v>
      </c>
    </row>
    <row r="8" spans="1:7" ht="15.6" x14ac:dyDescent="0.3">
      <c r="A8" s="55">
        <v>3</v>
      </c>
      <c r="B8" s="62" t="s">
        <v>84</v>
      </c>
      <c r="C8" s="55">
        <v>20140981</v>
      </c>
      <c r="D8" s="55" t="s">
        <v>85</v>
      </c>
      <c r="E8" s="55">
        <v>10</v>
      </c>
      <c r="F8" s="55">
        <v>15</v>
      </c>
      <c r="G8" s="58">
        <f t="shared" si="0"/>
        <v>150</v>
      </c>
    </row>
    <row r="9" spans="1:7" ht="15.6" x14ac:dyDescent="0.3">
      <c r="A9" s="55">
        <v>4</v>
      </c>
      <c r="B9" s="60" t="s">
        <v>4</v>
      </c>
      <c r="C9" s="61">
        <v>20141008</v>
      </c>
      <c r="D9" s="55" t="s">
        <v>85</v>
      </c>
      <c r="E9" s="55">
        <v>10</v>
      </c>
      <c r="F9" s="55">
        <v>14</v>
      </c>
      <c r="G9" s="58">
        <f t="shared" si="0"/>
        <v>140</v>
      </c>
    </row>
    <row r="10" spans="1:7" ht="15.6" x14ac:dyDescent="0.3">
      <c r="A10" s="55">
        <v>5</v>
      </c>
      <c r="B10" s="62" t="s">
        <v>59</v>
      </c>
      <c r="C10" s="55">
        <v>20150721</v>
      </c>
      <c r="D10" s="55" t="s">
        <v>65</v>
      </c>
      <c r="E10" s="55">
        <v>10</v>
      </c>
      <c r="F10" s="55">
        <v>14</v>
      </c>
      <c r="G10" s="58">
        <f t="shared" si="0"/>
        <v>140</v>
      </c>
    </row>
    <row r="11" spans="1:7" ht="15.6" x14ac:dyDescent="0.3">
      <c r="A11" s="55">
        <v>6</v>
      </c>
      <c r="B11" s="62" t="s">
        <v>66</v>
      </c>
      <c r="C11" s="55">
        <v>20160345</v>
      </c>
      <c r="D11" s="55" t="s">
        <v>65</v>
      </c>
      <c r="E11" s="55">
        <v>10</v>
      </c>
      <c r="F11" s="55">
        <v>14</v>
      </c>
      <c r="G11" s="58">
        <f t="shared" si="0"/>
        <v>140</v>
      </c>
    </row>
    <row r="12" spans="1:7" ht="15.6" x14ac:dyDescent="0.3">
      <c r="A12" s="55">
        <v>7</v>
      </c>
      <c r="B12" s="62" t="s">
        <v>64</v>
      </c>
      <c r="C12" s="55">
        <v>20170558</v>
      </c>
      <c r="D12" s="55" t="s">
        <v>65</v>
      </c>
      <c r="E12" s="55">
        <v>10</v>
      </c>
      <c r="F12" s="55">
        <v>13</v>
      </c>
      <c r="G12" s="67">
        <f t="shared" si="0"/>
        <v>130</v>
      </c>
    </row>
    <row r="13" spans="1:7" ht="15.6" x14ac:dyDescent="0.3">
      <c r="A13" s="55">
        <v>8</v>
      </c>
      <c r="B13" s="62" t="s">
        <v>83</v>
      </c>
      <c r="C13" s="55">
        <v>20170707</v>
      </c>
      <c r="D13" s="55" t="s">
        <v>65</v>
      </c>
      <c r="E13" s="55">
        <v>10</v>
      </c>
      <c r="F13" s="55">
        <v>13</v>
      </c>
      <c r="G13" s="58">
        <f t="shared" si="0"/>
        <v>130</v>
      </c>
    </row>
    <row r="14" spans="1:7" ht="15.6" x14ac:dyDescent="0.3">
      <c r="A14" s="55">
        <v>9</v>
      </c>
      <c r="B14" s="62" t="s">
        <v>81</v>
      </c>
      <c r="C14" s="55">
        <v>20180238</v>
      </c>
      <c r="D14" s="55" t="s">
        <v>65</v>
      </c>
      <c r="E14" s="55">
        <v>10</v>
      </c>
      <c r="F14" s="55">
        <v>14</v>
      </c>
      <c r="G14" s="58">
        <f t="shared" si="0"/>
        <v>140</v>
      </c>
    </row>
    <row r="15" spans="1:7" ht="15.6" x14ac:dyDescent="0.3">
      <c r="A15" s="55">
        <v>10</v>
      </c>
      <c r="B15" s="62" t="s">
        <v>86</v>
      </c>
      <c r="C15" s="55">
        <v>20091195</v>
      </c>
      <c r="D15" s="55" t="s">
        <v>2</v>
      </c>
      <c r="E15" s="55">
        <v>10</v>
      </c>
      <c r="F15" s="55">
        <v>14</v>
      </c>
      <c r="G15" s="58">
        <f t="shared" si="0"/>
        <v>140</v>
      </c>
    </row>
    <row r="16" spans="1:7" ht="15.6" x14ac:dyDescent="0.3">
      <c r="A16" s="55">
        <v>11</v>
      </c>
      <c r="B16" s="63" t="s">
        <v>9</v>
      </c>
      <c r="C16" s="64">
        <v>20160360</v>
      </c>
      <c r="D16" s="64" t="s">
        <v>2</v>
      </c>
      <c r="E16" s="55">
        <v>10</v>
      </c>
      <c r="F16" s="55">
        <v>13</v>
      </c>
      <c r="G16" s="58">
        <f t="shared" si="0"/>
        <v>130</v>
      </c>
    </row>
    <row r="17" spans="1:7" ht="15.6" x14ac:dyDescent="0.3">
      <c r="A17" s="55">
        <v>12</v>
      </c>
      <c r="B17" s="60" t="s">
        <v>8</v>
      </c>
      <c r="C17" s="55">
        <v>20160612</v>
      </c>
      <c r="D17" s="55" t="s">
        <v>2</v>
      </c>
      <c r="E17" s="55">
        <v>10</v>
      </c>
      <c r="F17" s="55">
        <v>14</v>
      </c>
      <c r="G17" s="58">
        <f t="shared" si="0"/>
        <v>140</v>
      </c>
    </row>
    <row r="18" spans="1:7" ht="15.6" x14ac:dyDescent="0.3">
      <c r="A18" s="55">
        <v>13</v>
      </c>
      <c r="B18" s="62" t="s">
        <v>72</v>
      </c>
      <c r="C18" s="55">
        <v>20170736</v>
      </c>
      <c r="D18" s="55" t="s">
        <v>2</v>
      </c>
      <c r="E18" s="55">
        <v>10</v>
      </c>
      <c r="F18" s="55">
        <v>16</v>
      </c>
      <c r="G18" s="58">
        <f t="shared" si="0"/>
        <v>160</v>
      </c>
    </row>
    <row r="19" spans="1:7" ht="15.6" x14ac:dyDescent="0.3">
      <c r="A19" s="55">
        <v>14</v>
      </c>
      <c r="B19" s="62" t="s">
        <v>82</v>
      </c>
      <c r="C19" s="55">
        <v>20180239</v>
      </c>
      <c r="D19" s="55" t="s">
        <v>2</v>
      </c>
      <c r="E19" s="55">
        <v>10</v>
      </c>
      <c r="F19" s="55">
        <v>14</v>
      </c>
      <c r="G19" s="58">
        <f t="shared" si="0"/>
        <v>140</v>
      </c>
    </row>
    <row r="20" spans="1:7" ht="15.6" x14ac:dyDescent="0.3">
      <c r="A20" s="55">
        <v>15</v>
      </c>
      <c r="B20" s="60" t="s">
        <v>5</v>
      </c>
      <c r="C20" s="55">
        <v>20141152</v>
      </c>
      <c r="D20" s="55" t="s">
        <v>6</v>
      </c>
      <c r="E20" s="55">
        <v>10</v>
      </c>
      <c r="F20" s="55">
        <v>15</v>
      </c>
      <c r="G20" s="58">
        <f t="shared" si="0"/>
        <v>150</v>
      </c>
    </row>
    <row r="21" spans="1:7" ht="15.6" x14ac:dyDescent="0.3">
      <c r="A21" s="55">
        <v>16</v>
      </c>
      <c r="B21" s="60" t="s">
        <v>10</v>
      </c>
      <c r="C21" s="55">
        <v>20160317</v>
      </c>
      <c r="D21" s="55" t="s">
        <v>6</v>
      </c>
      <c r="E21" s="55">
        <v>10</v>
      </c>
      <c r="F21" s="55">
        <v>14</v>
      </c>
      <c r="G21" s="58">
        <f t="shared" si="0"/>
        <v>140</v>
      </c>
    </row>
    <row r="22" spans="1:7" ht="15.6" x14ac:dyDescent="0.3">
      <c r="A22" s="55">
        <v>17</v>
      </c>
      <c r="B22" s="62" t="s">
        <v>88</v>
      </c>
      <c r="C22" s="55">
        <v>20170712</v>
      </c>
      <c r="D22" s="55" t="s">
        <v>6</v>
      </c>
      <c r="E22" s="55">
        <v>10</v>
      </c>
      <c r="F22" s="55">
        <v>15</v>
      </c>
      <c r="G22" s="58">
        <f t="shared" si="0"/>
        <v>150</v>
      </c>
    </row>
    <row r="23" spans="1:7" ht="15.6" x14ac:dyDescent="0.3">
      <c r="A23" s="55">
        <v>18</v>
      </c>
      <c r="B23" s="62" t="s">
        <v>63</v>
      </c>
      <c r="C23" s="55">
        <v>20160147</v>
      </c>
      <c r="D23" s="55" t="s">
        <v>60</v>
      </c>
      <c r="E23" s="55">
        <v>10</v>
      </c>
      <c r="F23" s="55">
        <v>16</v>
      </c>
      <c r="G23" s="58">
        <f t="shared" si="0"/>
        <v>160</v>
      </c>
    </row>
    <row r="24" spans="1:7" ht="15.6" x14ac:dyDescent="0.3">
      <c r="A24" s="55">
        <v>19</v>
      </c>
      <c r="B24" s="60" t="s">
        <v>70</v>
      </c>
      <c r="C24" s="55">
        <v>778</v>
      </c>
      <c r="D24" s="55" t="s">
        <v>24</v>
      </c>
      <c r="E24" s="55">
        <v>10</v>
      </c>
      <c r="F24" s="55">
        <v>11</v>
      </c>
      <c r="G24" s="58">
        <f t="shared" si="0"/>
        <v>110</v>
      </c>
    </row>
    <row r="25" spans="1:7" ht="15.6" x14ac:dyDescent="0.3">
      <c r="A25" s="55">
        <v>20</v>
      </c>
      <c r="B25" s="60" t="s">
        <v>51</v>
      </c>
      <c r="C25" s="55" t="s">
        <v>26</v>
      </c>
      <c r="D25" s="55" t="s">
        <v>24</v>
      </c>
      <c r="E25" s="55">
        <v>10</v>
      </c>
      <c r="F25" s="55">
        <v>11</v>
      </c>
      <c r="G25" s="58">
        <f t="shared" si="0"/>
        <v>110</v>
      </c>
    </row>
    <row r="26" spans="1:7" ht="15.6" x14ac:dyDescent="0.3">
      <c r="A26" s="55">
        <v>21</v>
      </c>
      <c r="B26" s="60" t="s">
        <v>45</v>
      </c>
      <c r="C26" s="61">
        <v>20070102</v>
      </c>
      <c r="D26" s="55" t="s">
        <v>67</v>
      </c>
      <c r="E26" s="55">
        <v>10</v>
      </c>
      <c r="F26" s="55">
        <v>14</v>
      </c>
      <c r="G26" s="58">
        <f t="shared" si="0"/>
        <v>140</v>
      </c>
    </row>
    <row r="27" spans="1:7" ht="15.6" x14ac:dyDescent="0.3">
      <c r="A27" s="55">
        <v>22</v>
      </c>
      <c r="B27" s="62" t="s">
        <v>54</v>
      </c>
      <c r="C27" s="55">
        <v>1538</v>
      </c>
      <c r="D27" s="55" t="s">
        <v>68</v>
      </c>
      <c r="E27" s="55">
        <v>10</v>
      </c>
      <c r="F27" s="55">
        <v>16</v>
      </c>
      <c r="G27" s="58">
        <f t="shared" si="0"/>
        <v>160</v>
      </c>
    </row>
    <row r="28" spans="1:7" ht="15.6" x14ac:dyDescent="0.3">
      <c r="A28" s="55">
        <v>23</v>
      </c>
      <c r="B28" s="60" t="s">
        <v>46</v>
      </c>
      <c r="C28" s="55">
        <v>20070101</v>
      </c>
      <c r="D28" s="55" t="s">
        <v>11</v>
      </c>
      <c r="E28" s="55">
        <v>10</v>
      </c>
      <c r="F28" s="55">
        <v>9</v>
      </c>
      <c r="G28" s="58">
        <f t="shared" si="0"/>
        <v>90</v>
      </c>
    </row>
    <row r="29" spans="1:7" ht="15.6" x14ac:dyDescent="0.3">
      <c r="A29" s="55">
        <v>24</v>
      </c>
      <c r="B29" s="62" t="s">
        <v>43</v>
      </c>
      <c r="C29" s="55">
        <v>20080112</v>
      </c>
      <c r="D29" s="55" t="s">
        <v>11</v>
      </c>
      <c r="E29" s="55">
        <v>10</v>
      </c>
      <c r="F29" s="55">
        <v>14</v>
      </c>
      <c r="G29" s="58">
        <f t="shared" si="0"/>
        <v>140</v>
      </c>
    </row>
    <row r="30" spans="1:7" ht="15.6" x14ac:dyDescent="0.3">
      <c r="A30" s="55">
        <v>25</v>
      </c>
      <c r="B30" s="65" t="s">
        <v>62</v>
      </c>
      <c r="C30" s="66">
        <v>20090751</v>
      </c>
      <c r="D30" s="55" t="s">
        <v>11</v>
      </c>
      <c r="E30" s="55">
        <v>10</v>
      </c>
      <c r="F30" s="55">
        <v>7</v>
      </c>
      <c r="G30" s="58">
        <f t="shared" si="0"/>
        <v>70</v>
      </c>
    </row>
    <row r="31" spans="1:7" ht="15.6" x14ac:dyDescent="0.3">
      <c r="A31" s="55">
        <v>26</v>
      </c>
      <c r="B31" s="60" t="s">
        <v>49</v>
      </c>
      <c r="C31" s="55">
        <v>20100241</v>
      </c>
      <c r="D31" s="55" t="s">
        <v>11</v>
      </c>
      <c r="E31" s="55">
        <v>10</v>
      </c>
      <c r="F31" s="55">
        <v>13</v>
      </c>
      <c r="G31" s="58">
        <f t="shared" si="0"/>
        <v>130</v>
      </c>
    </row>
    <row r="32" spans="1:7" ht="15.6" x14ac:dyDescent="0.3">
      <c r="A32" s="55">
        <v>27</v>
      </c>
      <c r="B32" s="60" t="s">
        <v>47</v>
      </c>
      <c r="C32" s="55">
        <v>20110818</v>
      </c>
      <c r="D32" s="55" t="s">
        <v>11</v>
      </c>
      <c r="E32" s="55">
        <v>10</v>
      </c>
      <c r="F32" s="55">
        <v>12</v>
      </c>
      <c r="G32" s="58">
        <f t="shared" si="0"/>
        <v>120</v>
      </c>
    </row>
    <row r="33" spans="1:7" ht="15.6" x14ac:dyDescent="0.3">
      <c r="A33" s="55">
        <v>28</v>
      </c>
      <c r="B33" s="60" t="s">
        <v>50</v>
      </c>
      <c r="C33" s="55">
        <v>20110892</v>
      </c>
      <c r="D33" s="55" t="s">
        <v>11</v>
      </c>
      <c r="E33" s="55">
        <v>10</v>
      </c>
      <c r="F33" s="55">
        <v>2</v>
      </c>
      <c r="G33" s="58">
        <f t="shared" si="0"/>
        <v>20</v>
      </c>
    </row>
    <row r="34" spans="1:7" ht="15.6" x14ac:dyDescent="0.3">
      <c r="A34" s="55">
        <v>29</v>
      </c>
      <c r="B34" s="62" t="s">
        <v>80</v>
      </c>
      <c r="C34" s="55">
        <v>20111040</v>
      </c>
      <c r="D34" s="55" t="s">
        <v>11</v>
      </c>
      <c r="E34" s="55">
        <v>10</v>
      </c>
      <c r="F34" s="55">
        <v>15</v>
      </c>
      <c r="G34" s="58">
        <f t="shared" si="0"/>
        <v>150</v>
      </c>
    </row>
    <row r="35" spans="1:7" ht="15.6" x14ac:dyDescent="0.3">
      <c r="A35" s="55">
        <v>30</v>
      </c>
      <c r="B35" s="60" t="s">
        <v>16</v>
      </c>
      <c r="C35" s="55">
        <v>20141042</v>
      </c>
      <c r="D35" s="55" t="s">
        <v>11</v>
      </c>
      <c r="E35" s="55">
        <v>10</v>
      </c>
      <c r="F35" s="55">
        <v>5</v>
      </c>
      <c r="G35" s="58">
        <f t="shared" si="0"/>
        <v>50</v>
      </c>
    </row>
    <row r="36" spans="1:7" ht="15.6" x14ac:dyDescent="0.3">
      <c r="A36" s="55">
        <v>31</v>
      </c>
      <c r="B36" s="60" t="s">
        <v>19</v>
      </c>
      <c r="C36" s="55">
        <v>20160707</v>
      </c>
      <c r="D36" s="55" t="s">
        <v>11</v>
      </c>
      <c r="E36" s="55">
        <v>10</v>
      </c>
      <c r="F36" s="55">
        <v>1</v>
      </c>
      <c r="G36" s="58">
        <f t="shared" si="0"/>
        <v>10</v>
      </c>
    </row>
    <row r="37" spans="1:7" ht="15.6" x14ac:dyDescent="0.3">
      <c r="A37" s="55">
        <v>32</v>
      </c>
      <c r="B37" s="60" t="s">
        <v>76</v>
      </c>
      <c r="C37" s="55">
        <v>20171011</v>
      </c>
      <c r="D37" s="55" t="s">
        <v>11</v>
      </c>
      <c r="E37" s="55">
        <v>10</v>
      </c>
      <c r="F37" s="55">
        <v>15</v>
      </c>
      <c r="G37" s="58">
        <f t="shared" si="0"/>
        <v>150</v>
      </c>
    </row>
    <row r="38" spans="1:7" ht="15.6" x14ac:dyDescent="0.3">
      <c r="A38" s="55">
        <v>33</v>
      </c>
      <c r="B38" s="60" t="s">
        <v>48</v>
      </c>
      <c r="C38" s="55">
        <v>20111201</v>
      </c>
      <c r="D38" s="55" t="s">
        <v>12</v>
      </c>
      <c r="E38" s="55">
        <v>10</v>
      </c>
      <c r="F38" s="55">
        <v>10</v>
      </c>
      <c r="G38" s="58">
        <f t="shared" ref="G38:G61" si="1">E38*F38</f>
        <v>100</v>
      </c>
    </row>
    <row r="39" spans="1:7" ht="15.6" x14ac:dyDescent="0.3">
      <c r="A39" s="55">
        <v>34</v>
      </c>
      <c r="B39" s="60" t="s">
        <v>13</v>
      </c>
      <c r="C39" s="55">
        <v>20140938</v>
      </c>
      <c r="D39" s="55" t="s">
        <v>12</v>
      </c>
      <c r="E39" s="55">
        <v>10</v>
      </c>
      <c r="F39" s="55">
        <v>7</v>
      </c>
      <c r="G39" s="58">
        <f t="shared" si="1"/>
        <v>70</v>
      </c>
    </row>
    <row r="40" spans="1:7" ht="15.6" x14ac:dyDescent="0.3">
      <c r="A40" s="55">
        <v>35</v>
      </c>
      <c r="B40" s="60" t="s">
        <v>20</v>
      </c>
      <c r="C40" s="55">
        <v>20141041</v>
      </c>
      <c r="D40" s="55" t="s">
        <v>12</v>
      </c>
      <c r="E40" s="55">
        <v>10</v>
      </c>
      <c r="F40" s="55">
        <v>1</v>
      </c>
      <c r="G40" s="58">
        <f t="shared" si="1"/>
        <v>10</v>
      </c>
    </row>
    <row r="41" spans="1:7" ht="15.6" x14ac:dyDescent="0.3">
      <c r="A41" s="55">
        <v>36</v>
      </c>
      <c r="B41" s="60" t="s">
        <v>15</v>
      </c>
      <c r="C41" s="55">
        <v>20151113</v>
      </c>
      <c r="D41" s="55" t="s">
        <v>12</v>
      </c>
      <c r="E41" s="55">
        <v>10</v>
      </c>
      <c r="F41" s="55">
        <v>14</v>
      </c>
      <c r="G41" s="58">
        <f t="shared" si="1"/>
        <v>140</v>
      </c>
    </row>
    <row r="42" spans="1:7" ht="15.6" x14ac:dyDescent="0.3">
      <c r="A42" s="55">
        <v>37</v>
      </c>
      <c r="B42" s="60" t="s">
        <v>14</v>
      </c>
      <c r="C42" s="55">
        <v>20160150</v>
      </c>
      <c r="D42" s="55" t="s">
        <v>12</v>
      </c>
      <c r="E42" s="55">
        <v>10</v>
      </c>
      <c r="F42" s="55">
        <v>15</v>
      </c>
      <c r="G42" s="58">
        <f t="shared" si="1"/>
        <v>150</v>
      </c>
    </row>
    <row r="43" spans="1:7" ht="15.6" x14ac:dyDescent="0.3">
      <c r="A43" s="55">
        <v>38</v>
      </c>
      <c r="B43" s="60" t="s">
        <v>22</v>
      </c>
      <c r="C43" s="55">
        <v>20160708</v>
      </c>
      <c r="D43" s="55" t="s">
        <v>12</v>
      </c>
      <c r="E43" s="55">
        <v>10</v>
      </c>
      <c r="F43" s="55">
        <v>15</v>
      </c>
      <c r="G43" s="58">
        <f t="shared" si="1"/>
        <v>150</v>
      </c>
    </row>
    <row r="44" spans="1:7" ht="15.6" x14ac:dyDescent="0.3">
      <c r="A44" s="55">
        <v>39</v>
      </c>
      <c r="B44" s="60" t="s">
        <v>21</v>
      </c>
      <c r="C44" s="55">
        <v>20160711</v>
      </c>
      <c r="D44" s="55" t="s">
        <v>12</v>
      </c>
      <c r="E44" s="55">
        <v>10</v>
      </c>
      <c r="F44" s="55">
        <v>11</v>
      </c>
      <c r="G44" s="58">
        <f t="shared" si="1"/>
        <v>110</v>
      </c>
    </row>
    <row r="45" spans="1:7" ht="15.6" x14ac:dyDescent="0.3">
      <c r="A45" s="55">
        <v>40</v>
      </c>
      <c r="B45" s="60" t="s">
        <v>23</v>
      </c>
      <c r="C45" s="55">
        <v>20160719</v>
      </c>
      <c r="D45" s="55" t="s">
        <v>12</v>
      </c>
      <c r="E45" s="55">
        <v>10</v>
      </c>
      <c r="F45" s="55">
        <v>0</v>
      </c>
      <c r="G45" s="58">
        <f t="shared" si="1"/>
        <v>0</v>
      </c>
    </row>
    <row r="46" spans="1:7" ht="15.6" x14ac:dyDescent="0.3">
      <c r="A46" s="55">
        <v>41</v>
      </c>
      <c r="B46" s="62" t="s">
        <v>58</v>
      </c>
      <c r="C46" s="55">
        <v>20160761</v>
      </c>
      <c r="D46" s="55" t="s">
        <v>12</v>
      </c>
      <c r="E46" s="55">
        <v>10</v>
      </c>
      <c r="F46" s="55">
        <v>13</v>
      </c>
      <c r="G46" s="58">
        <f t="shared" si="1"/>
        <v>130</v>
      </c>
    </row>
    <row r="47" spans="1:7" ht="15.6" x14ac:dyDescent="0.3">
      <c r="A47" s="55">
        <v>42</v>
      </c>
      <c r="B47" s="60" t="s">
        <v>28</v>
      </c>
      <c r="C47" s="55">
        <v>20160926</v>
      </c>
      <c r="D47" s="55" t="s">
        <v>12</v>
      </c>
      <c r="E47" s="55">
        <v>10</v>
      </c>
      <c r="F47" s="55">
        <v>4</v>
      </c>
      <c r="G47" s="58">
        <f t="shared" si="1"/>
        <v>40</v>
      </c>
    </row>
    <row r="48" spans="1:7" ht="15.6" x14ac:dyDescent="0.3">
      <c r="A48" s="55">
        <v>43</v>
      </c>
      <c r="B48" s="60" t="s">
        <v>25</v>
      </c>
      <c r="C48" s="55">
        <v>20161032</v>
      </c>
      <c r="D48" s="55" t="s">
        <v>12</v>
      </c>
      <c r="E48" s="55">
        <v>10</v>
      </c>
      <c r="F48" s="55">
        <v>15</v>
      </c>
      <c r="G48" s="58">
        <f t="shared" si="1"/>
        <v>150</v>
      </c>
    </row>
    <row r="49" spans="1:7" ht="15.6" x14ac:dyDescent="0.3">
      <c r="A49" s="55">
        <v>44</v>
      </c>
      <c r="B49" s="60" t="s">
        <v>27</v>
      </c>
      <c r="C49" s="55">
        <v>20161033</v>
      </c>
      <c r="D49" s="55" t="s">
        <v>12</v>
      </c>
      <c r="E49" s="55">
        <v>10</v>
      </c>
      <c r="F49" s="55">
        <v>15</v>
      </c>
      <c r="G49" s="58">
        <f t="shared" si="1"/>
        <v>150</v>
      </c>
    </row>
    <row r="50" spans="1:7" ht="15.6" x14ac:dyDescent="0.3">
      <c r="A50" s="55">
        <v>45</v>
      </c>
      <c r="B50" s="60" t="s">
        <v>52</v>
      </c>
      <c r="C50" s="55">
        <v>20161131</v>
      </c>
      <c r="D50" s="55" t="s">
        <v>12</v>
      </c>
      <c r="E50" s="55">
        <v>10</v>
      </c>
      <c r="F50" s="55">
        <v>16</v>
      </c>
      <c r="G50" s="58">
        <f t="shared" si="1"/>
        <v>160</v>
      </c>
    </row>
    <row r="51" spans="1:7" ht="15.6" x14ac:dyDescent="0.3">
      <c r="A51" s="55">
        <v>46</v>
      </c>
      <c r="B51" s="62" t="s">
        <v>77</v>
      </c>
      <c r="C51" s="55">
        <v>20170132</v>
      </c>
      <c r="D51" s="55" t="s">
        <v>12</v>
      </c>
      <c r="E51" s="55">
        <v>10</v>
      </c>
      <c r="F51" s="55">
        <v>6</v>
      </c>
      <c r="G51" s="58">
        <f t="shared" si="1"/>
        <v>60</v>
      </c>
    </row>
    <row r="52" spans="1:7" ht="15.6" x14ac:dyDescent="0.3">
      <c r="A52" s="55">
        <v>47</v>
      </c>
      <c r="B52" s="62" t="s">
        <v>73</v>
      </c>
      <c r="C52" s="55">
        <v>20170710</v>
      </c>
      <c r="D52" s="55" t="s">
        <v>12</v>
      </c>
      <c r="E52" s="55">
        <v>10</v>
      </c>
      <c r="F52" s="55">
        <v>1</v>
      </c>
      <c r="G52" s="58">
        <f t="shared" si="1"/>
        <v>10</v>
      </c>
    </row>
    <row r="53" spans="1:7" ht="15.6" x14ac:dyDescent="0.3">
      <c r="A53" s="55">
        <v>48</v>
      </c>
      <c r="B53" s="62" t="s">
        <v>69</v>
      </c>
      <c r="C53" s="55">
        <v>20170714</v>
      </c>
      <c r="D53" s="55" t="s">
        <v>12</v>
      </c>
      <c r="E53" s="55">
        <v>10</v>
      </c>
      <c r="F53" s="55">
        <v>15</v>
      </c>
      <c r="G53" s="58">
        <f t="shared" si="1"/>
        <v>150</v>
      </c>
    </row>
    <row r="54" spans="1:7" ht="15.6" x14ac:dyDescent="0.3">
      <c r="A54" s="55">
        <v>49</v>
      </c>
      <c r="B54" s="62" t="s">
        <v>71</v>
      </c>
      <c r="C54" s="55">
        <v>20170801</v>
      </c>
      <c r="D54" s="55" t="s">
        <v>12</v>
      </c>
      <c r="E54" s="55">
        <v>10</v>
      </c>
      <c r="F54" s="55">
        <v>15</v>
      </c>
      <c r="G54" s="58">
        <f t="shared" si="1"/>
        <v>150</v>
      </c>
    </row>
    <row r="55" spans="1:7" ht="15.6" x14ac:dyDescent="0.3">
      <c r="A55" s="55">
        <v>50</v>
      </c>
      <c r="B55" s="62" t="s">
        <v>74</v>
      </c>
      <c r="C55" s="55">
        <v>20170835</v>
      </c>
      <c r="D55" s="55" t="s">
        <v>12</v>
      </c>
      <c r="E55" s="55">
        <v>10</v>
      </c>
      <c r="F55" s="55">
        <v>14</v>
      </c>
      <c r="G55" s="58">
        <f t="shared" si="1"/>
        <v>140</v>
      </c>
    </row>
    <row r="56" spans="1:7" ht="15.6" x14ac:dyDescent="0.3">
      <c r="A56" s="55">
        <v>51</v>
      </c>
      <c r="B56" s="62" t="s">
        <v>75</v>
      </c>
      <c r="C56" s="55">
        <v>20171012</v>
      </c>
      <c r="D56" s="55" t="s">
        <v>12</v>
      </c>
      <c r="E56" s="55">
        <v>10</v>
      </c>
      <c r="F56" s="55">
        <v>16</v>
      </c>
      <c r="G56" s="58">
        <f t="shared" si="1"/>
        <v>160</v>
      </c>
    </row>
    <row r="57" spans="1:7" ht="15.6" x14ac:dyDescent="0.3">
      <c r="A57" s="55">
        <v>52</v>
      </c>
      <c r="B57" s="62" t="s">
        <v>78</v>
      </c>
      <c r="C57" s="55">
        <v>20171112</v>
      </c>
      <c r="D57" s="55" t="s">
        <v>12</v>
      </c>
      <c r="E57" s="55">
        <v>10</v>
      </c>
      <c r="F57" s="55">
        <v>13</v>
      </c>
      <c r="G57" s="58">
        <f t="shared" si="1"/>
        <v>130</v>
      </c>
    </row>
    <row r="58" spans="1:7" ht="15.6" x14ac:dyDescent="0.3">
      <c r="A58" s="55">
        <v>53</v>
      </c>
      <c r="B58" s="62" t="s">
        <v>79</v>
      </c>
      <c r="C58" s="55">
        <v>20171113</v>
      </c>
      <c r="D58" s="55" t="s">
        <v>12</v>
      </c>
      <c r="E58" s="55">
        <v>10</v>
      </c>
      <c r="F58" s="55">
        <v>16</v>
      </c>
      <c r="G58" s="58">
        <f t="shared" si="1"/>
        <v>160</v>
      </c>
    </row>
    <row r="59" spans="1:7" ht="15.6" x14ac:dyDescent="0.3">
      <c r="A59" s="55">
        <v>54</v>
      </c>
      <c r="B59" s="62" t="s">
        <v>55</v>
      </c>
      <c r="C59" s="55">
        <v>20170133</v>
      </c>
      <c r="D59" s="55" t="s">
        <v>18</v>
      </c>
      <c r="E59" s="55">
        <v>10</v>
      </c>
      <c r="F59" s="55">
        <v>2</v>
      </c>
      <c r="G59" s="58">
        <f t="shared" si="1"/>
        <v>20</v>
      </c>
    </row>
    <row r="60" spans="1:7" ht="15.6" x14ac:dyDescent="0.3">
      <c r="A60" s="55">
        <v>55</v>
      </c>
      <c r="B60" s="62" t="s">
        <v>61</v>
      </c>
      <c r="C60" s="55">
        <v>20170352</v>
      </c>
      <c r="D60" s="55" t="s">
        <v>18</v>
      </c>
      <c r="E60" s="55">
        <v>10</v>
      </c>
      <c r="F60" s="55">
        <v>9</v>
      </c>
      <c r="G60" s="58">
        <f t="shared" si="1"/>
        <v>90</v>
      </c>
    </row>
    <row r="61" spans="1:7" ht="15.6" x14ac:dyDescent="0.3">
      <c r="A61" s="152" t="s">
        <v>95</v>
      </c>
      <c r="B61" s="152"/>
      <c r="C61" s="152"/>
      <c r="D61" s="152"/>
      <c r="E61" s="59">
        <v>10</v>
      </c>
      <c r="F61" s="59">
        <f>SUM(F6:F60)</f>
        <v>637</v>
      </c>
      <c r="G61" s="58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6" customWidth="1"/>
    <col min="2" max="2" width="26.109375" style="45" customWidth="1"/>
    <col min="3" max="3" width="14" style="45" customWidth="1"/>
    <col min="4" max="4" width="15.33203125" style="48" customWidth="1"/>
    <col min="5" max="5" width="7.88671875" style="45" customWidth="1"/>
    <col min="6" max="6" width="23.88671875" style="52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25" t="s">
        <v>39</v>
      </c>
      <c r="B1" s="125"/>
      <c r="C1" s="125"/>
      <c r="D1" s="125"/>
      <c r="E1" s="125"/>
      <c r="F1" s="125"/>
      <c r="G1" s="125"/>
      <c r="H1" s="125"/>
    </row>
    <row r="2" spans="1:2901" ht="18.600000000000001" hidden="1" thickBot="1" x14ac:dyDescent="0.4">
      <c r="A2" s="126" t="s">
        <v>40</v>
      </c>
      <c r="B2" s="126"/>
      <c r="C2" s="126"/>
      <c r="D2" s="126"/>
      <c r="E2" s="126"/>
      <c r="F2" s="126"/>
      <c r="G2" s="126"/>
      <c r="H2" s="126"/>
    </row>
    <row r="3" spans="1:2901" ht="32.25" hidden="1" customHeight="1" thickBot="1" x14ac:dyDescent="0.6">
      <c r="A3" s="127" t="s">
        <v>41</v>
      </c>
      <c r="B3" s="128"/>
      <c r="C3" s="159"/>
      <c r="D3" s="112"/>
      <c r="E3" s="70"/>
      <c r="F3" s="50"/>
      <c r="G3" s="28"/>
      <c r="H3" s="2"/>
    </row>
    <row r="4" spans="1:2901" s="21" customFormat="1" ht="19.5" customHeight="1" x14ac:dyDescent="0.3">
      <c r="A4" s="158" t="s">
        <v>37</v>
      </c>
      <c r="B4" s="157" t="s">
        <v>0</v>
      </c>
      <c r="C4" s="156" t="s">
        <v>38</v>
      </c>
      <c r="D4" s="156" t="s">
        <v>29</v>
      </c>
      <c r="E4" s="136" t="s">
        <v>30</v>
      </c>
      <c r="F4" s="160" t="s">
        <v>56</v>
      </c>
      <c r="G4" s="141" t="s">
        <v>57</v>
      </c>
      <c r="H4" s="132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15"/>
      <c r="B5" s="117"/>
      <c r="C5" s="117"/>
      <c r="D5" s="117"/>
      <c r="E5" s="135"/>
      <c r="F5" s="161"/>
      <c r="G5" s="142"/>
      <c r="H5" s="133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1">
        <v>1</v>
      </c>
      <c r="B6" s="73" t="s">
        <v>44</v>
      </c>
      <c r="C6" s="74">
        <v>20090871</v>
      </c>
      <c r="D6" s="71" t="s">
        <v>3</v>
      </c>
      <c r="E6" s="71">
        <v>17</v>
      </c>
      <c r="F6" s="75">
        <v>32.672897196261701</v>
      </c>
      <c r="G6" s="76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1">
        <v>2</v>
      </c>
      <c r="B7" s="77" t="s">
        <v>87</v>
      </c>
      <c r="C7" s="71">
        <v>20100257</v>
      </c>
      <c r="D7" s="71" t="s">
        <v>1</v>
      </c>
      <c r="E7" s="71">
        <v>10</v>
      </c>
      <c r="F7" s="75">
        <v>32.672897196261701</v>
      </c>
      <c r="G7" s="76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1">
        <v>3</v>
      </c>
      <c r="B8" s="77" t="s">
        <v>111</v>
      </c>
      <c r="C8" s="71">
        <v>20120916</v>
      </c>
      <c r="D8" s="71" t="s">
        <v>1</v>
      </c>
      <c r="E8" s="71">
        <v>23</v>
      </c>
      <c r="F8" s="75">
        <v>32.672897196261701</v>
      </c>
      <c r="G8" s="76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1">
        <v>4</v>
      </c>
      <c r="B9" s="73" t="s">
        <v>102</v>
      </c>
      <c r="C9" s="71">
        <v>20140981</v>
      </c>
      <c r="D9" s="71" t="s">
        <v>85</v>
      </c>
      <c r="E9" s="71">
        <v>20</v>
      </c>
      <c r="F9" s="75">
        <v>32.672897196261701</v>
      </c>
      <c r="G9" s="76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1">
        <v>5</v>
      </c>
      <c r="B10" s="73" t="s">
        <v>4</v>
      </c>
      <c r="C10" s="74">
        <v>20141008</v>
      </c>
      <c r="D10" s="71" t="s">
        <v>85</v>
      </c>
      <c r="E10" s="71">
        <v>18</v>
      </c>
      <c r="F10" s="75">
        <v>32.672897196261701</v>
      </c>
      <c r="G10" s="76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1">
        <v>6</v>
      </c>
      <c r="B11" s="77" t="s">
        <v>98</v>
      </c>
      <c r="C11" s="71">
        <v>20141017</v>
      </c>
      <c r="D11" s="71" t="s">
        <v>85</v>
      </c>
      <c r="E11" s="71">
        <v>17</v>
      </c>
      <c r="F11" s="75">
        <v>32.672897196261701</v>
      </c>
      <c r="G11" s="76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1">
        <v>7</v>
      </c>
      <c r="B12" s="77" t="s">
        <v>59</v>
      </c>
      <c r="C12" s="71">
        <v>20150721</v>
      </c>
      <c r="D12" s="71" t="s">
        <v>85</v>
      </c>
      <c r="E12" s="71">
        <v>13</v>
      </c>
      <c r="F12" s="75">
        <v>32.672897196261701</v>
      </c>
      <c r="G12" s="76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1">
        <v>8</v>
      </c>
      <c r="B13" s="77" t="s">
        <v>66</v>
      </c>
      <c r="C13" s="71">
        <v>20160345</v>
      </c>
      <c r="D13" s="71" t="s">
        <v>7</v>
      </c>
      <c r="E13" s="71">
        <v>20</v>
      </c>
      <c r="F13" s="75">
        <v>32.672897196261701</v>
      </c>
      <c r="G13" s="76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1">
        <v>9</v>
      </c>
      <c r="B14" s="73" t="s">
        <v>103</v>
      </c>
      <c r="C14" s="71">
        <v>20170558</v>
      </c>
      <c r="D14" s="71" t="s">
        <v>65</v>
      </c>
      <c r="E14" s="71">
        <v>6</v>
      </c>
      <c r="F14" s="75">
        <v>32.672897196261701</v>
      </c>
      <c r="G14" s="76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1">
        <v>10</v>
      </c>
      <c r="B15" s="77" t="s">
        <v>81</v>
      </c>
      <c r="C15" s="71">
        <v>20180238</v>
      </c>
      <c r="D15" s="71" t="s">
        <v>65</v>
      </c>
      <c r="E15" s="71">
        <v>23</v>
      </c>
      <c r="F15" s="75">
        <v>32.672897196261701</v>
      </c>
      <c r="G15" s="76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1">
        <v>11</v>
      </c>
      <c r="B16" s="77" t="s">
        <v>107</v>
      </c>
      <c r="C16" s="71" t="s">
        <v>108</v>
      </c>
      <c r="D16" s="71" t="s">
        <v>65</v>
      </c>
      <c r="E16" s="71">
        <v>19</v>
      </c>
      <c r="F16" s="75">
        <v>32.672897196261701</v>
      </c>
      <c r="G16" s="76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1">
        <v>12</v>
      </c>
      <c r="B17" s="77" t="s">
        <v>86</v>
      </c>
      <c r="C17" s="71">
        <v>20091195</v>
      </c>
      <c r="D17" s="71" t="s">
        <v>2</v>
      </c>
      <c r="E17" s="71">
        <v>20</v>
      </c>
      <c r="F17" s="75">
        <v>32.672897196261701</v>
      </c>
      <c r="G17" s="76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1">
        <v>13</v>
      </c>
      <c r="B18" s="78" t="s">
        <v>9</v>
      </c>
      <c r="C18" s="79">
        <v>20160360</v>
      </c>
      <c r="D18" s="79" t="s">
        <v>2</v>
      </c>
      <c r="E18" s="71">
        <v>13</v>
      </c>
      <c r="F18" s="75">
        <v>32.672897196261701</v>
      </c>
      <c r="G18" s="76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1">
        <v>14</v>
      </c>
      <c r="B19" s="77" t="s">
        <v>72</v>
      </c>
      <c r="C19" s="71">
        <v>20170736</v>
      </c>
      <c r="D19" s="71" t="s">
        <v>2</v>
      </c>
      <c r="E19" s="71">
        <v>17</v>
      </c>
      <c r="F19" s="75">
        <v>32.672897196261701</v>
      </c>
      <c r="G19" s="76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1">
        <v>15</v>
      </c>
      <c r="B20" s="77" t="s">
        <v>106</v>
      </c>
      <c r="C20" s="71">
        <v>20170102</v>
      </c>
      <c r="D20" s="71" t="s">
        <v>2</v>
      </c>
      <c r="E20" s="71">
        <v>22</v>
      </c>
      <c r="F20" s="75">
        <v>32.672897196261701</v>
      </c>
      <c r="G20" s="76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1">
        <v>16</v>
      </c>
      <c r="B21" s="77" t="s">
        <v>82</v>
      </c>
      <c r="C21" s="71">
        <v>20180239</v>
      </c>
      <c r="D21" s="71" t="s">
        <v>2</v>
      </c>
      <c r="E21" s="71">
        <v>23</v>
      </c>
      <c r="F21" s="75">
        <v>32.672897196261701</v>
      </c>
      <c r="G21" s="76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1">
        <v>17</v>
      </c>
      <c r="B22" s="73" t="s">
        <v>5</v>
      </c>
      <c r="C22" s="71">
        <v>20141152</v>
      </c>
      <c r="D22" s="71" t="s">
        <v>6</v>
      </c>
      <c r="E22" s="71">
        <v>20</v>
      </c>
      <c r="F22" s="75">
        <v>32.672897196261701</v>
      </c>
      <c r="G22" s="76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1">
        <v>18</v>
      </c>
      <c r="B23" s="73" t="s">
        <v>10</v>
      </c>
      <c r="C23" s="71">
        <v>20160317</v>
      </c>
      <c r="D23" s="71" t="s">
        <v>6</v>
      </c>
      <c r="E23" s="71">
        <v>24</v>
      </c>
      <c r="F23" s="75">
        <v>32.672897196261701</v>
      </c>
      <c r="G23" s="76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1">
        <v>19</v>
      </c>
      <c r="B24" s="77" t="s">
        <v>88</v>
      </c>
      <c r="C24" s="71">
        <v>20170712</v>
      </c>
      <c r="D24" s="71" t="s">
        <v>6</v>
      </c>
      <c r="E24" s="71">
        <v>11</v>
      </c>
      <c r="F24" s="75">
        <v>32.672897196261701</v>
      </c>
      <c r="G24" s="76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1">
        <v>20</v>
      </c>
      <c r="B25" s="77" t="s">
        <v>63</v>
      </c>
      <c r="C25" s="71">
        <v>20160147</v>
      </c>
      <c r="D25" s="71" t="s">
        <v>60</v>
      </c>
      <c r="E25" s="71">
        <v>12</v>
      </c>
      <c r="F25" s="75">
        <v>32.672897196261701</v>
      </c>
      <c r="G25" s="76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1">
        <v>21</v>
      </c>
      <c r="B26" s="77" t="s">
        <v>99</v>
      </c>
      <c r="C26" s="71">
        <v>20180616</v>
      </c>
      <c r="D26" s="71" t="s">
        <v>100</v>
      </c>
      <c r="E26" s="71">
        <v>23</v>
      </c>
      <c r="F26" s="75">
        <v>32.672897196261701</v>
      </c>
      <c r="G26" s="76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1">
        <v>22</v>
      </c>
      <c r="B27" s="73" t="s">
        <v>51</v>
      </c>
      <c r="C27" s="71" t="s">
        <v>26</v>
      </c>
      <c r="D27" s="71" t="s">
        <v>24</v>
      </c>
      <c r="E27" s="71">
        <v>17</v>
      </c>
      <c r="F27" s="75">
        <v>32.672897196261701</v>
      </c>
      <c r="G27" s="76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1">
        <v>23</v>
      </c>
      <c r="B28" s="73" t="s">
        <v>70</v>
      </c>
      <c r="C28" s="71">
        <v>778</v>
      </c>
      <c r="D28" s="71" t="s">
        <v>24</v>
      </c>
      <c r="E28" s="71">
        <v>19</v>
      </c>
      <c r="F28" s="75">
        <v>32.672897196261701</v>
      </c>
      <c r="G28" s="76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1">
        <v>24</v>
      </c>
      <c r="B29" s="73" t="s">
        <v>96</v>
      </c>
      <c r="C29" s="71" t="s">
        <v>97</v>
      </c>
      <c r="D29" s="71" t="s">
        <v>24</v>
      </c>
      <c r="E29" s="71">
        <v>6</v>
      </c>
      <c r="F29" s="75">
        <v>32.672897196261701</v>
      </c>
      <c r="G29" s="76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1">
        <v>25</v>
      </c>
      <c r="B30" s="73" t="s">
        <v>45</v>
      </c>
      <c r="C30" s="74">
        <v>20070102</v>
      </c>
      <c r="D30" s="71" t="s">
        <v>67</v>
      </c>
      <c r="E30" s="71">
        <v>24</v>
      </c>
      <c r="F30" s="75">
        <v>32.672897196261701</v>
      </c>
      <c r="G30" s="76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1">
        <v>26</v>
      </c>
      <c r="B31" s="77" t="s">
        <v>54</v>
      </c>
      <c r="C31" s="71">
        <v>1538</v>
      </c>
      <c r="D31" s="71" t="s">
        <v>68</v>
      </c>
      <c r="E31" s="71">
        <v>22</v>
      </c>
      <c r="F31" s="75">
        <v>32.672897196261701</v>
      </c>
      <c r="G31" s="76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1">
        <v>27</v>
      </c>
      <c r="B32" s="77" t="s">
        <v>43</v>
      </c>
      <c r="C32" s="71">
        <v>20080112</v>
      </c>
      <c r="D32" s="71" t="s">
        <v>11</v>
      </c>
      <c r="E32" s="71">
        <v>18</v>
      </c>
      <c r="F32" s="75">
        <v>32.672897196261701</v>
      </c>
      <c r="G32" s="76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1">
        <v>28</v>
      </c>
      <c r="B33" s="73" t="s">
        <v>47</v>
      </c>
      <c r="C33" s="71">
        <v>20110818</v>
      </c>
      <c r="D33" s="71" t="s">
        <v>11</v>
      </c>
      <c r="E33" s="71">
        <v>22</v>
      </c>
      <c r="F33" s="75">
        <v>32.672897196261701</v>
      </c>
      <c r="G33" s="76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1">
        <v>29</v>
      </c>
      <c r="B34" s="73" t="s">
        <v>50</v>
      </c>
      <c r="C34" s="71">
        <v>20110892</v>
      </c>
      <c r="D34" s="71" t="s">
        <v>11</v>
      </c>
      <c r="E34" s="71">
        <v>17</v>
      </c>
      <c r="F34" s="75">
        <v>32.672897196261701</v>
      </c>
      <c r="G34" s="76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1">
        <v>30</v>
      </c>
      <c r="B35" s="77" t="s">
        <v>80</v>
      </c>
      <c r="C35" s="71">
        <v>20111040</v>
      </c>
      <c r="D35" s="71" t="s">
        <v>11</v>
      </c>
      <c r="E35" s="71">
        <v>19</v>
      </c>
      <c r="F35" s="75">
        <v>32.672897196261701</v>
      </c>
      <c r="G35" s="76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1">
        <v>31</v>
      </c>
      <c r="B36" s="73" t="s">
        <v>16</v>
      </c>
      <c r="C36" s="71">
        <v>20141042</v>
      </c>
      <c r="D36" s="71" t="s">
        <v>11</v>
      </c>
      <c r="E36" s="71">
        <v>20</v>
      </c>
      <c r="F36" s="75">
        <v>32.672897196261701</v>
      </c>
      <c r="G36" s="76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1">
        <v>32</v>
      </c>
      <c r="B37" s="73" t="s">
        <v>19</v>
      </c>
      <c r="C37" s="71">
        <v>20160707</v>
      </c>
      <c r="D37" s="71" t="s">
        <v>17</v>
      </c>
      <c r="E37" s="71">
        <v>12</v>
      </c>
      <c r="F37" s="75">
        <v>32.672897196261701</v>
      </c>
      <c r="G37" s="76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1">
        <v>33</v>
      </c>
      <c r="B38" s="73" t="s">
        <v>76</v>
      </c>
      <c r="C38" s="71">
        <v>20171011</v>
      </c>
      <c r="D38" s="71" t="s">
        <v>17</v>
      </c>
      <c r="E38" s="71">
        <v>24</v>
      </c>
      <c r="F38" s="75">
        <v>32.672897196261701</v>
      </c>
      <c r="G38" s="76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1">
        <v>34</v>
      </c>
      <c r="B39" s="73" t="s">
        <v>49</v>
      </c>
      <c r="C39" s="71">
        <v>20100241</v>
      </c>
      <c r="D39" s="71" t="s">
        <v>11</v>
      </c>
      <c r="E39" s="71">
        <v>23</v>
      </c>
      <c r="F39" s="75">
        <v>32.672897196261701</v>
      </c>
      <c r="G39" s="76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1">
        <v>35</v>
      </c>
      <c r="B40" s="73" t="s">
        <v>48</v>
      </c>
      <c r="C40" s="71">
        <v>20111201</v>
      </c>
      <c r="D40" s="71" t="s">
        <v>12</v>
      </c>
      <c r="E40" s="71">
        <v>17</v>
      </c>
      <c r="F40" s="75">
        <v>32.672897196261701</v>
      </c>
      <c r="G40" s="76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1">
        <v>36</v>
      </c>
      <c r="B41" s="73" t="s">
        <v>14</v>
      </c>
      <c r="C41" s="71">
        <v>20160150</v>
      </c>
      <c r="D41" s="71" t="s">
        <v>12</v>
      </c>
      <c r="E41" s="71">
        <v>18</v>
      </c>
      <c r="F41" s="75">
        <v>32.672897196261701</v>
      </c>
      <c r="G41" s="76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1">
        <v>37</v>
      </c>
      <c r="B42" s="73" t="s">
        <v>22</v>
      </c>
      <c r="C42" s="71">
        <v>20160708</v>
      </c>
      <c r="D42" s="71" t="s">
        <v>12</v>
      </c>
      <c r="E42" s="71">
        <v>22</v>
      </c>
      <c r="F42" s="75">
        <v>32.672897196261701</v>
      </c>
      <c r="G42" s="76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1">
        <v>38</v>
      </c>
      <c r="B43" s="73" t="s">
        <v>25</v>
      </c>
      <c r="C43" s="71">
        <v>20161032</v>
      </c>
      <c r="D43" s="71" t="s">
        <v>12</v>
      </c>
      <c r="E43" s="71">
        <v>19</v>
      </c>
      <c r="F43" s="75">
        <v>32.672897196261701</v>
      </c>
      <c r="G43" s="76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1">
        <v>39</v>
      </c>
      <c r="B44" s="73" t="s">
        <v>27</v>
      </c>
      <c r="C44" s="71">
        <v>20161033</v>
      </c>
      <c r="D44" s="71" t="s">
        <v>12</v>
      </c>
      <c r="E44" s="71">
        <v>24</v>
      </c>
      <c r="F44" s="75">
        <v>32.672897196261701</v>
      </c>
      <c r="G44" s="76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1">
        <v>40</v>
      </c>
      <c r="B45" s="73" t="s">
        <v>52</v>
      </c>
      <c r="C45" s="71">
        <v>20161131</v>
      </c>
      <c r="D45" s="71" t="s">
        <v>12</v>
      </c>
      <c r="E45" s="71">
        <v>24</v>
      </c>
      <c r="F45" s="75">
        <v>32.672897196261701</v>
      </c>
      <c r="G45" s="76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1">
        <v>41</v>
      </c>
      <c r="B46" s="77" t="s">
        <v>58</v>
      </c>
      <c r="C46" s="71">
        <v>20160761</v>
      </c>
      <c r="D46" s="71" t="s">
        <v>12</v>
      </c>
      <c r="E46" s="71">
        <v>18</v>
      </c>
      <c r="F46" s="75">
        <v>32.672897196261701</v>
      </c>
      <c r="G46" s="76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1">
        <v>42</v>
      </c>
      <c r="B47" s="77" t="s">
        <v>73</v>
      </c>
      <c r="C47" s="71">
        <v>20170710</v>
      </c>
      <c r="D47" s="71" t="s">
        <v>12</v>
      </c>
      <c r="E47" s="71">
        <v>18</v>
      </c>
      <c r="F47" s="75">
        <v>32.672897196261701</v>
      </c>
      <c r="G47" s="76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1">
        <v>43</v>
      </c>
      <c r="B48" s="77" t="s">
        <v>69</v>
      </c>
      <c r="C48" s="71">
        <v>20170714</v>
      </c>
      <c r="D48" s="71" t="s">
        <v>12</v>
      </c>
      <c r="E48" s="71">
        <v>23</v>
      </c>
      <c r="F48" s="75">
        <v>32.672897196261701</v>
      </c>
      <c r="G48" s="76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1">
        <v>44</v>
      </c>
      <c r="B49" s="77" t="s">
        <v>77</v>
      </c>
      <c r="C49" s="71">
        <v>20170132</v>
      </c>
      <c r="D49" s="71" t="s">
        <v>12</v>
      </c>
      <c r="E49" s="71">
        <v>24</v>
      </c>
      <c r="F49" s="75">
        <v>32.672897196261701</v>
      </c>
      <c r="G49" s="76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1">
        <v>45</v>
      </c>
      <c r="B50" s="77" t="s">
        <v>71</v>
      </c>
      <c r="C50" s="71">
        <v>20170801</v>
      </c>
      <c r="D50" s="71" t="s">
        <v>12</v>
      </c>
      <c r="E50" s="80">
        <v>23</v>
      </c>
      <c r="F50" s="75">
        <v>32.672897196261701</v>
      </c>
      <c r="G50" s="76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1">
        <v>46</v>
      </c>
      <c r="B51" s="77" t="s">
        <v>78</v>
      </c>
      <c r="C51" s="71">
        <v>20171112</v>
      </c>
      <c r="D51" s="71" t="s">
        <v>12</v>
      </c>
      <c r="E51" s="71">
        <v>24</v>
      </c>
      <c r="F51" s="75">
        <v>32.672897196261701</v>
      </c>
      <c r="G51" s="76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1">
        <v>47</v>
      </c>
      <c r="B52" s="77" t="s">
        <v>104</v>
      </c>
      <c r="C52" s="71">
        <v>20181004</v>
      </c>
      <c r="D52" s="71" t="s">
        <v>12</v>
      </c>
      <c r="E52" s="71">
        <v>24</v>
      </c>
      <c r="F52" s="75">
        <v>32.672897196261701</v>
      </c>
      <c r="G52" s="76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1">
        <v>48</v>
      </c>
      <c r="B53" s="77" t="s">
        <v>61</v>
      </c>
      <c r="C53" s="71">
        <v>20170352</v>
      </c>
      <c r="D53" s="71" t="s">
        <v>18</v>
      </c>
      <c r="E53" s="71">
        <v>16</v>
      </c>
      <c r="F53" s="75">
        <v>32.672897196261701</v>
      </c>
      <c r="G53" s="76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1">
        <v>49</v>
      </c>
      <c r="B54" s="77" t="s">
        <v>101</v>
      </c>
      <c r="C54" s="71">
        <v>20180617</v>
      </c>
      <c r="D54" s="71" t="s">
        <v>18</v>
      </c>
      <c r="E54" s="71">
        <v>24</v>
      </c>
      <c r="F54" s="75">
        <v>32.672897196261701</v>
      </c>
      <c r="G54" s="76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1">
        <v>50</v>
      </c>
      <c r="B55" s="77" t="s">
        <v>105</v>
      </c>
      <c r="C55" s="71">
        <v>20170716</v>
      </c>
      <c r="D55" s="71" t="s">
        <v>18</v>
      </c>
      <c r="E55" s="71">
        <v>22</v>
      </c>
      <c r="F55" s="75">
        <v>32.672897196261701</v>
      </c>
      <c r="G55" s="76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1">
        <v>51</v>
      </c>
      <c r="B56" s="77" t="s">
        <v>109</v>
      </c>
      <c r="C56" s="71">
        <v>20181008</v>
      </c>
      <c r="D56" s="71" t="s">
        <v>11</v>
      </c>
      <c r="E56" s="71">
        <v>20</v>
      </c>
      <c r="F56" s="75">
        <v>32.672897196261701</v>
      </c>
      <c r="G56" s="76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1">
        <v>52</v>
      </c>
      <c r="B57" s="77" t="s">
        <v>110</v>
      </c>
      <c r="C57" s="71">
        <v>20181125</v>
      </c>
      <c r="D57" s="71" t="s">
        <v>12</v>
      </c>
      <c r="E57" s="71">
        <v>24</v>
      </c>
      <c r="F57" s="75">
        <v>32.672897196261701</v>
      </c>
      <c r="G57" s="76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1">
        <v>53</v>
      </c>
      <c r="B58" s="77" t="s">
        <v>112</v>
      </c>
      <c r="C58" s="71">
        <v>20181120</v>
      </c>
      <c r="D58" s="71" t="s">
        <v>11</v>
      </c>
      <c r="E58" s="71">
        <v>23</v>
      </c>
      <c r="F58" s="75">
        <v>32.672897196261701</v>
      </c>
      <c r="G58" s="76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1">
        <v>54</v>
      </c>
      <c r="B59" s="77" t="s">
        <v>113</v>
      </c>
      <c r="C59" s="71">
        <v>20150666</v>
      </c>
      <c r="D59" s="71" t="s">
        <v>12</v>
      </c>
      <c r="E59" s="71">
        <v>21</v>
      </c>
      <c r="F59" s="75">
        <v>32.672897196261701</v>
      </c>
      <c r="G59" s="76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1">
        <v>55</v>
      </c>
      <c r="B60" s="77" t="s">
        <v>114</v>
      </c>
      <c r="C60" s="71">
        <v>20170133</v>
      </c>
      <c r="D60" s="71" t="s">
        <v>18</v>
      </c>
      <c r="E60" s="71">
        <v>19</v>
      </c>
      <c r="F60" s="75">
        <v>32.672897196261701</v>
      </c>
      <c r="G60" s="76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1">
        <v>56</v>
      </c>
      <c r="B61" s="72" t="s">
        <v>115</v>
      </c>
      <c r="C61" s="72">
        <v>20180409</v>
      </c>
      <c r="D61" s="72" t="s">
        <v>12</v>
      </c>
      <c r="E61" s="71">
        <v>9</v>
      </c>
      <c r="F61" s="75">
        <v>32.672897196261701</v>
      </c>
      <c r="G61" s="76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53"/>
      <c r="B62" s="154"/>
      <c r="C62" s="154"/>
      <c r="D62" s="155"/>
      <c r="E62" s="44">
        <f>SUM(E6:E61)</f>
        <v>1070</v>
      </c>
      <c r="F62" s="51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1:H1"/>
    <mergeCell ref="A2:H2"/>
    <mergeCell ref="A3:B3"/>
    <mergeCell ref="C3:D3"/>
    <mergeCell ref="G4:G5"/>
    <mergeCell ref="H4:H5"/>
    <mergeCell ref="E4:E5"/>
    <mergeCell ref="F4:F5"/>
    <mergeCell ref="A62:D62"/>
    <mergeCell ref="D4:D5"/>
    <mergeCell ref="C4:C5"/>
    <mergeCell ref="B4:B5"/>
    <mergeCell ref="A4: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62" t="s">
        <v>116</v>
      </c>
      <c r="C1" s="162"/>
      <c r="D1" s="162"/>
    </row>
    <row r="2" spans="2:4" ht="34.799999999999997" x14ac:dyDescent="0.3">
      <c r="B2" s="81" t="s">
        <v>36</v>
      </c>
      <c r="C2" s="81" t="s">
        <v>32</v>
      </c>
      <c r="D2" s="81" t="s">
        <v>42</v>
      </c>
    </row>
    <row r="3" spans="2:4" ht="18" x14ac:dyDescent="0.35">
      <c r="B3" s="82">
        <v>43460</v>
      </c>
      <c r="C3" s="83"/>
      <c r="D3" s="83"/>
    </row>
    <row r="4" spans="2:4" ht="18" x14ac:dyDescent="0.35">
      <c r="B4" s="82">
        <v>43461</v>
      </c>
      <c r="C4" s="83"/>
      <c r="D4" s="83"/>
    </row>
    <row r="5" spans="2:4" ht="18" x14ac:dyDescent="0.35">
      <c r="B5" s="82">
        <v>43462</v>
      </c>
      <c r="C5" s="83"/>
      <c r="D5" s="83"/>
    </row>
    <row r="6" spans="2:4" ht="18" x14ac:dyDescent="0.35">
      <c r="B6" s="82">
        <v>43463</v>
      </c>
      <c r="C6" s="83"/>
      <c r="D6" s="83"/>
    </row>
    <row r="7" spans="2:4" ht="18" x14ac:dyDescent="0.35">
      <c r="B7" s="82">
        <v>43464</v>
      </c>
      <c r="C7" s="83"/>
      <c r="D7" s="83"/>
    </row>
    <row r="8" spans="2:4" ht="18" x14ac:dyDescent="0.35">
      <c r="B8" s="82">
        <v>43465</v>
      </c>
      <c r="C8" s="83"/>
      <c r="D8" s="83"/>
    </row>
    <row r="9" spans="2:4" ht="18" x14ac:dyDescent="0.35">
      <c r="B9" s="82">
        <v>43466</v>
      </c>
      <c r="C9" s="83"/>
      <c r="D9" s="83"/>
    </row>
    <row r="10" spans="2:4" ht="18" x14ac:dyDescent="0.35">
      <c r="B10" s="82">
        <v>43467</v>
      </c>
      <c r="C10" s="83"/>
      <c r="D10" s="83"/>
    </row>
    <row r="11" spans="2:4" ht="18" x14ac:dyDescent="0.35">
      <c r="B11" s="82">
        <v>43468</v>
      </c>
      <c r="C11" s="83"/>
      <c r="D11" s="83"/>
    </row>
    <row r="12" spans="2:4" ht="18" x14ac:dyDescent="0.35">
      <c r="B12" s="82">
        <v>43469</v>
      </c>
      <c r="C12" s="83"/>
      <c r="D12" s="83"/>
    </row>
    <row r="13" spans="2:4" ht="18" x14ac:dyDescent="0.35">
      <c r="B13" s="82">
        <v>43470</v>
      </c>
      <c r="C13" s="83"/>
      <c r="D13" s="83"/>
    </row>
    <row r="14" spans="2:4" ht="18" x14ac:dyDescent="0.35">
      <c r="B14" s="82">
        <v>43471</v>
      </c>
      <c r="C14" s="83"/>
      <c r="D14" s="83"/>
    </row>
    <row r="15" spans="2:4" ht="18" x14ac:dyDescent="0.35">
      <c r="B15" s="82">
        <v>43472</v>
      </c>
      <c r="C15" s="83"/>
      <c r="D15" s="83"/>
    </row>
    <row r="16" spans="2:4" ht="18" x14ac:dyDescent="0.35">
      <c r="B16" s="82">
        <v>43473</v>
      </c>
      <c r="C16" s="83"/>
      <c r="D16" s="83"/>
    </row>
    <row r="17" spans="2:4" ht="18" x14ac:dyDescent="0.35">
      <c r="B17" s="82">
        <v>43474</v>
      </c>
      <c r="C17" s="83"/>
      <c r="D17" s="83"/>
    </row>
    <row r="18" spans="2:4" ht="18" x14ac:dyDescent="0.35">
      <c r="B18" s="82">
        <v>43475</v>
      </c>
      <c r="C18" s="83"/>
      <c r="D18" s="83"/>
    </row>
    <row r="19" spans="2:4" ht="18" x14ac:dyDescent="0.35">
      <c r="B19" s="82">
        <v>43476</v>
      </c>
      <c r="C19" s="83"/>
      <c r="D19" s="83"/>
    </row>
    <row r="20" spans="2:4" ht="18" x14ac:dyDescent="0.35">
      <c r="B20" s="82">
        <v>43477</v>
      </c>
      <c r="C20" s="83"/>
      <c r="D20" s="83"/>
    </row>
    <row r="21" spans="2:4" ht="18" x14ac:dyDescent="0.35">
      <c r="B21" s="82">
        <v>43478</v>
      </c>
      <c r="C21" s="83"/>
      <c r="D21" s="83"/>
    </row>
    <row r="22" spans="2:4" ht="18" x14ac:dyDescent="0.35">
      <c r="B22" s="82">
        <v>43479</v>
      </c>
      <c r="C22" s="83"/>
      <c r="D22" s="83"/>
    </row>
    <row r="23" spans="2:4" ht="18" x14ac:dyDescent="0.35">
      <c r="B23" s="82">
        <v>43480</v>
      </c>
      <c r="C23" s="83"/>
      <c r="D23" s="83"/>
    </row>
    <row r="24" spans="2:4" ht="18" x14ac:dyDescent="0.35">
      <c r="B24" s="82">
        <v>43481</v>
      </c>
      <c r="C24" s="83"/>
      <c r="D24" s="83"/>
    </row>
    <row r="25" spans="2:4" ht="18" x14ac:dyDescent="0.35">
      <c r="B25" s="82">
        <v>43482</v>
      </c>
      <c r="C25" s="83"/>
      <c r="D25" s="83"/>
    </row>
    <row r="26" spans="2:4" ht="18" x14ac:dyDescent="0.35">
      <c r="B26" s="82">
        <v>43483</v>
      </c>
      <c r="C26" s="83"/>
      <c r="D26" s="83"/>
    </row>
    <row r="27" spans="2:4" ht="18" x14ac:dyDescent="0.35">
      <c r="B27" s="82">
        <v>43484</v>
      </c>
      <c r="C27" s="83"/>
      <c r="D27" s="83"/>
    </row>
    <row r="28" spans="2:4" ht="18" x14ac:dyDescent="0.35">
      <c r="B28" s="82">
        <v>43485</v>
      </c>
      <c r="C28" s="83"/>
      <c r="D28" s="83"/>
    </row>
    <row r="29" spans="2:4" ht="18" x14ac:dyDescent="0.35">
      <c r="B29" s="82">
        <v>43486</v>
      </c>
      <c r="C29" s="83"/>
      <c r="D29" s="83"/>
    </row>
    <row r="30" spans="2:4" ht="18" x14ac:dyDescent="0.35">
      <c r="B30" s="82">
        <v>43487</v>
      </c>
      <c r="C30" s="83"/>
      <c r="D30" s="83"/>
    </row>
    <row r="31" spans="2:4" ht="18" x14ac:dyDescent="0.35">
      <c r="B31" s="82">
        <v>43488</v>
      </c>
      <c r="C31" s="83"/>
      <c r="D31" s="83"/>
    </row>
    <row r="32" spans="2:4" ht="18" x14ac:dyDescent="0.35">
      <c r="B32" s="82">
        <v>43489</v>
      </c>
      <c r="C32" s="83"/>
      <c r="D32" s="83"/>
    </row>
    <row r="33" spans="2:4" ht="18" x14ac:dyDescent="0.35">
      <c r="B33" s="82">
        <v>43490</v>
      </c>
      <c r="C33" s="83"/>
      <c r="D33" s="83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2021-12-08T12:13:47Z</dcterms:modified>
</cp:coreProperties>
</file>